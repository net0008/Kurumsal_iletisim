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ogratauniedu-my.sharepoint.com/personal/hasbi_erdogmus24_ogr_atauni_edu_tr/Documents/2025-2026/Robotik Kodlama/İstatistik/"/>
    </mc:Choice>
  </mc:AlternateContent>
  <xr:revisionPtr revIDLastSave="2" documentId="13_ncr:1_{27AAC115-1867-4477-9E82-C63F7820572F}" xr6:coauthVersionLast="47" xr6:coauthVersionMax="47" xr10:uidLastSave="{D21D834A-08F3-4A28-92CA-216080953845}"/>
  <bookViews>
    <workbookView xWindow="-120" yWindow="-120" windowWidth="29040" windowHeight="15720" tabRatio="542" activeTab="1" xr2:uid="{00000000-000D-0000-FFFF-FFFF00000000}"/>
  </bookViews>
  <sheets>
    <sheet name="Rapor" sheetId="2" r:id="rId1"/>
    <sheet name="Form Yanıtları 1" sheetId="1" r:id="rId2"/>
    <sheet name="Form Yanıtları 1 (3)" sheetId="5" r:id="rId3"/>
    <sheet name="aranacak okullarımız" sheetId="4" r:id="rId4"/>
    <sheet name="Sayfa2" sheetId="3" r:id="rId5"/>
  </sheets>
  <externalReferences>
    <externalReference r:id="rId6"/>
  </externalReferences>
  <definedNames>
    <definedName name="_xlnm.Print_Area" localSheetId="3">'aranacak okullarımız'!$C$1:$O$22</definedName>
    <definedName name="_xlnm.Print_Area" localSheetId="2">'Form Yanıtları 1 (3)'!$A$1:$K$30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5" l="1"/>
  <c r="E46" i="5"/>
  <c r="G45" i="5"/>
  <c r="G44" i="5"/>
  <c r="F39" i="4"/>
  <c r="E39" i="4"/>
  <c r="G38" i="4"/>
  <c r="G37" i="4"/>
  <c r="E62" i="1"/>
  <c r="G61" i="1"/>
  <c r="G60" i="1"/>
  <c r="F62" i="1"/>
</calcChain>
</file>

<file path=xl/sharedStrings.xml><?xml version="1.0" encoding="utf-8"?>
<sst xmlns="http://schemas.openxmlformats.org/spreadsheetml/2006/main" count="941" uniqueCount="288">
  <si>
    <t>Zaman damgası</t>
  </si>
  <si>
    <t>Okul türü</t>
  </si>
  <si>
    <t>Ortaokul Adı</t>
  </si>
  <si>
    <t>Okulunuzda kaç kurs açmayı planlıyorsunuz?</t>
  </si>
  <si>
    <t>Açılacak kurslarda toplam kaç öğrenci eğitim alacak?</t>
  </si>
  <si>
    <t>Kurs açacak öğretmenin adı soyadı ( Kurs açacak öğretmen birden çoksa öğretmen isimlerinin arasına virgül koyarak yazınız.)</t>
  </si>
  <si>
    <t>Kurs Açamama Sebebiniz Nedir? (Soru Anaokulu, Lise ve Dengi okullar içindir.)</t>
  </si>
  <si>
    <t>Kurs Açamama Sebebiniz Nedir? (Soru ilkokul ve ortaokullar için)</t>
  </si>
  <si>
    <t>Adı Soyadı</t>
  </si>
  <si>
    <t>Ünvanı</t>
  </si>
  <si>
    <t>1. sütun</t>
  </si>
  <si>
    <t>Anaokulu ve İlkokul</t>
  </si>
  <si>
    <t>Selçukbey İlkokulu</t>
  </si>
  <si>
    <t>Ayşe Burçak YILMAZ</t>
  </si>
  <si>
    <t>Alper KARAKUYU</t>
  </si>
  <si>
    <t>Okul Müdürü</t>
  </si>
  <si>
    <t>Ortaokul</t>
  </si>
  <si>
    <t>Dereköy EBSO Ortaokulu</t>
  </si>
  <si>
    <t>İsmail Muştu</t>
  </si>
  <si>
    <t xml:space="preserve">Saffet Aslan </t>
  </si>
  <si>
    <t>Müdür</t>
  </si>
  <si>
    <t>14 Eylül İlkokulu</t>
  </si>
  <si>
    <t>FATMA URAL</t>
  </si>
  <si>
    <t>ENGİN ACAR</t>
  </si>
  <si>
    <t>MÜDÜR</t>
  </si>
  <si>
    <t>Zeytindağ Yılmaz İlkokulu</t>
  </si>
  <si>
    <t>Halil Özyurt,Murat Oflaz</t>
  </si>
  <si>
    <t>İbrahim Şahin</t>
  </si>
  <si>
    <t>Mert Öztüre İlkokulu</t>
  </si>
  <si>
    <t>Talat poyraz</t>
  </si>
  <si>
    <t>Okul müdürü</t>
  </si>
  <si>
    <t>Sağancı Yunus Şahinkoç Ortaokulu</t>
  </si>
  <si>
    <t>Gökçen AKAR</t>
  </si>
  <si>
    <t>Ayaskent İrfan Kırdar Ortaokulu</t>
  </si>
  <si>
    <t>Murat Mutlu</t>
  </si>
  <si>
    <t xml:space="preserve">Hakime ÇELİKKOL </t>
  </si>
  <si>
    <t xml:space="preserve">Yunus KAZAK </t>
  </si>
  <si>
    <t>Göçbeyli Ortaokulu</t>
  </si>
  <si>
    <t>Okulumuzda  bilişim teknolojisi öğretmeni yok.</t>
  </si>
  <si>
    <t>Bilişim Teknolojileri branşı dışındaki öğretmenlerinin de açabildiği 42 saatlik kursu açmak isteyen öğretmenimiz yok.</t>
  </si>
  <si>
    <t>Nazmi Bilgin</t>
  </si>
  <si>
    <t>Göçbeyli İmam Hatip Ortaokulu</t>
  </si>
  <si>
    <t xml:space="preserve">Nazmi Bilgin </t>
  </si>
  <si>
    <t>Aşağıbey Ortaokulu</t>
  </si>
  <si>
    <t>Burhan aydın</t>
  </si>
  <si>
    <t xml:space="preserve">Sinan Gökalp </t>
  </si>
  <si>
    <t>Lise ve dengi okullar</t>
  </si>
  <si>
    <t>Cumhuriyet Anadolu Lisesi</t>
  </si>
  <si>
    <t>Yunus Aydoğan</t>
  </si>
  <si>
    <t>Zübeyde Hanım Ortaokulu</t>
  </si>
  <si>
    <t>Deniz Nurlu, Mesut Kural, Müge Olut</t>
  </si>
  <si>
    <t>İsmail Tekin</t>
  </si>
  <si>
    <t>Fevzipaşa İlkokulu</t>
  </si>
  <si>
    <t>Rukiye YILMAZ</t>
  </si>
  <si>
    <t xml:space="preserve">Mustafa Dirik </t>
  </si>
  <si>
    <t xml:space="preserve">müdür </t>
  </si>
  <si>
    <t>Bergama Bağımsız Anaokulu</t>
  </si>
  <si>
    <t xml:space="preserve">OSMAN ÇIRAK </t>
  </si>
  <si>
    <t xml:space="preserve">GAFFAR ÇETİNER </t>
  </si>
  <si>
    <t xml:space="preserve">Müdür </t>
  </si>
  <si>
    <t>Bergamalı Kadri Anadolu İmam Hatip Lisesi</t>
  </si>
  <si>
    <t>Bilgisayar öğretmeni yok</t>
  </si>
  <si>
    <t xml:space="preserve">Mehmet YETİM </t>
  </si>
  <si>
    <t>Tepeköy Şehit Astsubay Yıldırım Akbulut İlkokulu</t>
  </si>
  <si>
    <t xml:space="preserve">Barış Şanlı </t>
  </si>
  <si>
    <t>İsmail Hakkı Pamukçu İlkokulu</t>
  </si>
  <si>
    <t>Safiye KIZILALTUN, Tuğba GİRİCİ</t>
  </si>
  <si>
    <t>Ceyhan UTKULU</t>
  </si>
  <si>
    <t>100.Yıl İlkokulu</t>
  </si>
  <si>
    <t>Murat sarı,Seçil Abaylı ,serhat Abaylı ,Fatih enser</t>
  </si>
  <si>
    <t>İbrahim cambaz</t>
  </si>
  <si>
    <t>Betül YAVUZ, Bilge ÇANKAYA</t>
  </si>
  <si>
    <t>Gökçen AAKAR</t>
  </si>
  <si>
    <t>Sağancı Yunus Şahinkoç İlkokulu</t>
  </si>
  <si>
    <t>Öğrencilerimiz önceki yıl kurs almış olup, kurs almayan 3 öğrencimiz vardır.</t>
  </si>
  <si>
    <t>Bergama Göçbeyli Çok Programlı Anadolu Lisesi</t>
  </si>
  <si>
    <t>Deniz YABAN</t>
  </si>
  <si>
    <t>OKUL MÜDÜRÜ</t>
  </si>
  <si>
    <t>Dereköy Ebso İlkokulu</t>
  </si>
  <si>
    <t xml:space="preserve">Pınar AYDIN ÖZCAN </t>
  </si>
  <si>
    <t xml:space="preserve">Mustafa BOZKURT </t>
  </si>
  <si>
    <t xml:space="preserve">OKUL MÜDÜRÜ </t>
  </si>
  <si>
    <t>Akif Ersezgin Anadolu Lisesi</t>
  </si>
  <si>
    <t>Osman uzun</t>
  </si>
  <si>
    <t xml:space="preserve">Tarık Öztürk, </t>
  </si>
  <si>
    <t>Bergama Anaokulu</t>
  </si>
  <si>
    <t>Gonca ARICILAR (BİLSEM)</t>
  </si>
  <si>
    <t xml:space="preserve">Sadullah KOÇ </t>
  </si>
  <si>
    <t>Bergama Yusuf Kemalettin Perin Mesleki ve Teknik Anadolu Lisesi</t>
  </si>
  <si>
    <t>AHMET KOYUNCUOĞLU, ULAŞ ÖZGÜR ÖZBİLGİN, ZEKİYE KARAKAYA, AYTEN TÜRKBAY</t>
  </si>
  <si>
    <t xml:space="preserve">AHMET KOYUNCUOĞLU </t>
  </si>
  <si>
    <t>Bilişim Teknolojileri Alan Şefi</t>
  </si>
  <si>
    <t>Bergama Kozak Çok Programlı Anadolu Lisesi</t>
  </si>
  <si>
    <t>Efrayim AKTAŞ</t>
  </si>
  <si>
    <t>Okul Müdür Yardımcısı</t>
  </si>
  <si>
    <t>Yusuf Kemalettin Perin Fen Lisesi</t>
  </si>
  <si>
    <t>Muharrem Kul</t>
  </si>
  <si>
    <t>Tayfun Çetin</t>
  </si>
  <si>
    <t>Mdr. Yrd.</t>
  </si>
  <si>
    <t>Osman Nuri Ersezgin Ortaokulu</t>
  </si>
  <si>
    <t>Ulaş Geçim,Nesrin Ortaçgil</t>
  </si>
  <si>
    <t>Eyüp Kizir</t>
  </si>
  <si>
    <t>Küçükkaya İlkokulu</t>
  </si>
  <si>
    <t>Özcan ÇELİK</t>
  </si>
  <si>
    <t>Müdür Yetkili Sınıf Öğretmeni</t>
  </si>
  <si>
    <t>Göçbeyli İlkokulu</t>
  </si>
  <si>
    <t>Okulumuzun taşımalı olmadı sebeyle kursa kalacak öğrencinin azlığı</t>
  </si>
  <si>
    <t>Yusuf kaya</t>
  </si>
  <si>
    <t xml:space="preserve">Okul müdürü </t>
  </si>
  <si>
    <t>100.Yıl Ortaokulu</t>
  </si>
  <si>
    <t>Gülfem Geçim</t>
  </si>
  <si>
    <t>İskender Aktürk</t>
  </si>
  <si>
    <t>Bergama Lisesi</t>
  </si>
  <si>
    <t>Güven Güleç</t>
  </si>
  <si>
    <t>Gökay Taşdelen</t>
  </si>
  <si>
    <t>Bergama Anadolu İmam Hatip Lisesi</t>
  </si>
  <si>
    <t>İsmailli Ortaokulu</t>
  </si>
  <si>
    <t xml:space="preserve">Okulumuz taşımalı eğitim ve BT sınıfı yok </t>
  </si>
  <si>
    <t xml:space="preserve">Hacı güvercin </t>
  </si>
  <si>
    <t>İsmailli İlkokulu</t>
  </si>
  <si>
    <t>Zeytindağ Yılmaz Ortaokulu</t>
  </si>
  <si>
    <t>YAHYA HİLAL</t>
  </si>
  <si>
    <t>ANIL GÜNEŞ</t>
  </si>
  <si>
    <t>MÜDÜR YARDIMCISI</t>
  </si>
  <si>
    <t>Şehit Üsteğmen Cemil Canan Çiçek İmam Hatip Ortaokulu</t>
  </si>
  <si>
    <t xml:space="preserve">Savaş ASLAN </t>
  </si>
  <si>
    <t xml:space="preserve">Okul Müdürü </t>
  </si>
  <si>
    <t>Ali Rıza Eroğlu İlkokulu</t>
  </si>
  <si>
    <t>Özlem demirci, Nermin Duru, Muazzez yaramış, Yeliz Kumru bıçak,  Suzan Şimşek</t>
  </si>
  <si>
    <t>Zafer Türkdoğan</t>
  </si>
  <si>
    <t>Bergama Kız Anadolu İmam Hatip Lisesi</t>
  </si>
  <si>
    <t>Ayşen Dede</t>
  </si>
  <si>
    <t>Ulubatlı Hasan İmam Hatip Ortaokulu</t>
  </si>
  <si>
    <t>Emine Gaye Yaman</t>
  </si>
  <si>
    <t>Mehmet Bakkalcı</t>
  </si>
  <si>
    <t>Müdür Yardımcısı</t>
  </si>
  <si>
    <t>Fatih İlkokulu</t>
  </si>
  <si>
    <t>Süleyman Kaya</t>
  </si>
  <si>
    <t xml:space="preserve">Metin Kartal </t>
  </si>
  <si>
    <t>Bergama 13 Nisan Anadolu Lisesi</t>
  </si>
  <si>
    <t>Sefa Yılmaz</t>
  </si>
  <si>
    <t>Tepeköy Ortaokulu</t>
  </si>
  <si>
    <t xml:space="preserve">Okulumuzda bilgisayar laboratuarı bulunmamaktadır </t>
  </si>
  <si>
    <t>Bergama 70. Yıl Mesleki ve Teknik Anadolu Lisesi</t>
  </si>
  <si>
    <t xml:space="preserve">Metin Turan </t>
  </si>
  <si>
    <t xml:space="preserve">Müdür yardımcısı </t>
  </si>
  <si>
    <t>Osman Nuri Ersezgin İlkokulu</t>
  </si>
  <si>
    <t xml:space="preserve">İki okul aynı binayı kullanmaktayız. Kurs açmak için yerimiz yok. </t>
  </si>
  <si>
    <t>Bilginer Engin</t>
  </si>
  <si>
    <t>Bölcek İlkokulu</t>
  </si>
  <si>
    <t>Ahmet Büyüktopbaş</t>
  </si>
  <si>
    <t>Bölcek Ortaokulu</t>
  </si>
  <si>
    <t>Gazi Ortaokulu</t>
  </si>
  <si>
    <t>Okan YENİGÜN,Gülçin ZİHNA, Fatih EZGİN</t>
  </si>
  <si>
    <t xml:space="preserve">Barış HOCAOĞLU </t>
  </si>
  <si>
    <t xml:space="preserve">Müdür Yardımcısı </t>
  </si>
  <si>
    <t>Gazi İlkokulu</t>
  </si>
  <si>
    <t xml:space="preserve">Şeref eren </t>
  </si>
  <si>
    <t>Ahmet elibol</t>
  </si>
  <si>
    <t>Mustafa Bilge</t>
  </si>
  <si>
    <t>Bergama Zeytindağ Çok Programlı Anadolu Lisesi</t>
  </si>
  <si>
    <t>Mehtap Yurtsever</t>
  </si>
  <si>
    <t>Müdür yardımcısı</t>
  </si>
  <si>
    <t>Şehit Ümit Özerli Ortaokulu</t>
  </si>
  <si>
    <t>Nebahat Sena Bayraktar</t>
  </si>
  <si>
    <t>Ercan Eroğlu</t>
  </si>
  <si>
    <t>Yukarıbey Ortaokulu</t>
  </si>
  <si>
    <t>Cihangir GÜVEN</t>
  </si>
  <si>
    <t>Levent KAPLAN</t>
  </si>
  <si>
    <t>Yukarıbey İlkokulu</t>
  </si>
  <si>
    <t>Tuncay Özturk</t>
  </si>
  <si>
    <t xml:space="preserve">Bilge Baydoğan </t>
  </si>
  <si>
    <t xml:space="preserve">Mudur yardimcisi </t>
  </si>
  <si>
    <t>Bergama Bakırçay Mesleki ve Teknik Anadolu Lisesi</t>
  </si>
  <si>
    <t xml:space="preserve">Rahim ŞİMŞEK </t>
  </si>
  <si>
    <t>Ayaskent İrfan Kırdar İlkokulu</t>
  </si>
  <si>
    <t>Kevser GÜNERİ, Pınar YILMAZ</t>
  </si>
  <si>
    <t>Murat GÖKKAYA</t>
  </si>
  <si>
    <t>Atatürk İlkokulu</t>
  </si>
  <si>
    <t>Okulumuzda kurs açacak yerimiz yok</t>
  </si>
  <si>
    <t>Okulumuzda kurs açacak yerimiz</t>
  </si>
  <si>
    <t xml:space="preserve">Ahmet vurucuoğlu </t>
  </si>
  <si>
    <t>Bergama Güzel Sanatlar Lisesi</t>
  </si>
  <si>
    <t>Bilgisayar öğretmenimiz yok</t>
  </si>
  <si>
    <t>Hacer Teke</t>
  </si>
  <si>
    <t>Şehit Ömer Yiğit Ulus Mesleki ve Teknik Anadolu Lisesi</t>
  </si>
  <si>
    <t>Neslihan KALKAN</t>
  </si>
  <si>
    <t>Ebubekir ERKAYA</t>
  </si>
  <si>
    <t>Sınıf Perşembe günü boş 15.30 dan sonra</t>
  </si>
  <si>
    <r>
      <t xml:space="preserve">Okulumuzda  bilişim teknolojisi öğretmeni yok. </t>
    </r>
    <r>
      <rPr>
        <sz val="10"/>
        <rFont val="Arial"/>
        <family val="2"/>
        <charset val="162"/>
        <scheme val="minor"/>
      </rPr>
      <t>Yahya HİLAL</t>
    </r>
  </si>
  <si>
    <r>
      <t xml:space="preserve">Selçuk Bingül, </t>
    </r>
    <r>
      <rPr>
        <sz val="10"/>
        <color rgb="FFFF0000"/>
        <rFont val="Arial"/>
        <family val="2"/>
        <charset val="162"/>
        <scheme val="minor"/>
      </rPr>
      <t>Pelin ODABAŞ</t>
    </r>
  </si>
  <si>
    <t>Sıra NO</t>
  </si>
  <si>
    <t>Taşımalı Eğitim, Bilişim Teknolojileri branşı dışındaki öğretmenlerinin de açabildiği 42 saatlik kursu açmak isteyen öğretmenimiz yok.</t>
  </si>
  <si>
    <r>
      <t xml:space="preserve">Sertifika sahibi Öğretmen yok  </t>
    </r>
    <r>
      <rPr>
        <sz val="10"/>
        <rFont val="Arial"/>
        <family val="2"/>
        <charset val="162"/>
        <scheme val="minor"/>
      </rPr>
      <t>Soner KARADUMAN,</t>
    </r>
    <r>
      <rPr>
        <sz val="10"/>
        <color rgb="FFFF0000"/>
        <rFont val="Arial"/>
        <family val="2"/>
        <charset val="162"/>
        <scheme val="minor"/>
      </rPr>
      <t xml:space="preserve">  Pazartesi, Çarşamba -15.30</t>
    </r>
  </si>
  <si>
    <t>TOPLAM</t>
  </si>
  <si>
    <t>A. Sevil görüş, selcan çağdaş, Hadiye ikiz acar, Abdurrahman bulut, zeynep acay, Nagihan erdik</t>
  </si>
  <si>
    <t>Gönderen Birim</t>
  </si>
  <si>
    <t>Konu</t>
  </si>
  <si>
    <t>Kayıt Tarihi</t>
  </si>
  <si>
    <t>Evrak Tipi</t>
  </si>
  <si>
    <t>Evrak Sayısı</t>
  </si>
  <si>
    <t>Küçükkaya İlkokulu Müdürlüğü</t>
  </si>
  <si>
    <t>Robotik Yazılım ve Kodlama Atölyesi Kursu</t>
  </si>
  <si>
    <t>19.09.2025</t>
  </si>
  <si>
    <t>Gelen Evrak</t>
  </si>
  <si>
    <t>E-80094461-135.03-141480504</t>
  </si>
  <si>
    <t>Aşağıbey Ortaokulu Müdürlüğü</t>
  </si>
  <si>
    <t>Robotik Kodlama Kursu</t>
  </si>
  <si>
    <t>18.09.2025</t>
  </si>
  <si>
    <t>E-75096803-135.03-141286507</t>
  </si>
  <si>
    <t>Bergama Kız Anadolu İmam Hatip Lisesi Müdürlüğü</t>
  </si>
  <si>
    <t>Robotik Kodlama Atölyesi</t>
  </si>
  <si>
    <t>17.09.2025</t>
  </si>
  <si>
    <t>E-20109414-799-141153386</t>
  </si>
  <si>
    <t>Bergama 13 Nisan Anadolu Lisesi Müdürlüğü</t>
  </si>
  <si>
    <t>Kurs Açılması Talebi</t>
  </si>
  <si>
    <t>E-25648892-135.03-141366432</t>
  </si>
  <si>
    <t>Selçukbey İlkokulu Müdürlüğü</t>
  </si>
  <si>
    <t>E-52016621-135.03-141483207</t>
  </si>
  <si>
    <t>100. Yıl İlkokulu Müdürlüğü</t>
  </si>
  <si>
    <t>Robotik Kodlama Kursu Açılması</t>
  </si>
  <si>
    <t>E-85350984-101.08-141517492</t>
  </si>
  <si>
    <t>80. Yıl Cumhuriyet Ortaokulu Müdürlüğü</t>
  </si>
  <si>
    <t>E-89800307-135.03-141516713</t>
  </si>
  <si>
    <t>Bergama 70. Yıl Mesleki ve Teknik Anadolu Lisesi Müdürlüğü</t>
  </si>
  <si>
    <t>Robotik Yazılımı ve Kodlama Kursu</t>
  </si>
  <si>
    <t>E-99241365-135.99-141331746</t>
  </si>
  <si>
    <t>Bergama Yusuf Kemalettin Perin Mesleki ve Teknik Anadolu Lisesi Müdürlüğü</t>
  </si>
  <si>
    <t>Robotik Kodlama Kursu Açma Talebi</t>
  </si>
  <si>
    <t>E-42584258-135.03-141398613</t>
  </si>
  <si>
    <t>Zeytindağ Yılmaz Ortaokulu Müdürlüğü</t>
  </si>
  <si>
    <t>E-93027777-135.03-141386011</t>
  </si>
  <si>
    <t>14 Eylül İlkokulu Müdürlüğü</t>
  </si>
  <si>
    <t>16.09.2025</t>
  </si>
  <si>
    <t>E-92134828-135.03-141048364</t>
  </si>
  <si>
    <t>Temel Robotik Kodlama Kursu Açılması</t>
  </si>
  <si>
    <t>15.09.2025</t>
  </si>
  <si>
    <t>E-93027777-135.03-140833699</t>
  </si>
  <si>
    <t>Ali Rıza Eroğlu İlkokulu Müdürlüğü</t>
  </si>
  <si>
    <t>Robotik kodlama Kursu</t>
  </si>
  <si>
    <t>11.09.2025</t>
  </si>
  <si>
    <t>E-98104106-300-140584342</t>
  </si>
  <si>
    <t>Tepeköy Şehit Astsubay Yıldırım Akbulut İlkokulu Müdürlüğü</t>
  </si>
  <si>
    <t>12.09.2025</t>
  </si>
  <si>
    <t>E-78414402-135.03-140740366</t>
  </si>
  <si>
    <t>80. Yıl Cumhuriyet Ortaokulu</t>
  </si>
  <si>
    <r>
      <t>Okulumuzda  bilişim teknolojisi öğretmeni yok.</t>
    </r>
    <r>
      <rPr>
        <sz val="10"/>
        <rFont val="Arial"/>
        <family val="2"/>
        <charset val="162"/>
        <scheme val="minor"/>
      </rPr>
      <t>Tarık ÖZTÜRK</t>
    </r>
    <r>
      <rPr>
        <sz val="10"/>
        <color rgb="FFFF0000"/>
        <rFont val="Arial"/>
        <family val="2"/>
        <charset val="162"/>
        <scheme val="minor"/>
      </rPr>
      <t xml:space="preserve"> (Pazartesi, Çarşamba saat 16.30'dan sonra)</t>
    </r>
  </si>
  <si>
    <t>Öğrenci Sayısı</t>
  </si>
  <si>
    <t>Yunus Aydoğan (Kurs açamıyor) Musa KILIÇ Cumartesi günü 1 grup</t>
  </si>
  <si>
    <r>
      <t xml:space="preserve">Bilgisayar öğretmenimiz yok. </t>
    </r>
    <r>
      <rPr>
        <sz val="10"/>
        <rFont val="Arial"/>
        <family val="2"/>
        <charset val="162"/>
        <scheme val="minor"/>
      </rPr>
      <t>Gökay TAŞDELEN</t>
    </r>
    <r>
      <rPr>
        <sz val="10"/>
        <color rgb="FFFF0000"/>
        <rFont val="Arial"/>
        <family val="2"/>
        <charset val="162"/>
        <scheme val="minor"/>
      </rPr>
      <t xml:space="preserve"> (Pazartesi, Perşembe 16.30 dan sonra, Salı,Çarşamba 17.00 dan sonra)</t>
    </r>
  </si>
  <si>
    <r>
      <t xml:space="preserve">Özcan ÇELİK  </t>
    </r>
    <r>
      <rPr>
        <sz val="10"/>
        <color rgb="FFFF0000"/>
        <rFont val="Arial"/>
        <family val="2"/>
        <charset val="162"/>
        <scheme val="minor"/>
      </rPr>
      <t>(Kurs Açamıyor)</t>
    </r>
  </si>
  <si>
    <t>Öğretmenimiz yok.  Bilal İNCİ (Salı, Çarşamba,Perşembe 17.00-19.00)</t>
  </si>
  <si>
    <t>Yeniköy İlkokulu</t>
  </si>
  <si>
    <t>Yeniköy Ortaokulu</t>
  </si>
  <si>
    <t>Öğretmen yok Musa KILIÇ Perşembe 17.10 sonra  Cumartesi 1 grup</t>
  </si>
  <si>
    <r>
      <t xml:space="preserve">Bergama İlçe Milli Eğitim Müdürlüğünce öğretmen görevlendirme. </t>
    </r>
    <r>
      <rPr>
        <sz val="10"/>
        <rFont val="Arial"/>
        <family val="2"/>
        <charset val="162"/>
        <scheme val="minor"/>
      </rPr>
      <t>Deniz YABAN  (Saat 17.30 dan sonra )</t>
    </r>
  </si>
  <si>
    <t>Bergama Halk Eğitimi Merkezi</t>
  </si>
  <si>
    <t>Yüzyüze Eğitim</t>
  </si>
  <si>
    <t>Bergama Yusuf Kemalettin Perin Mesleki Ve Teknik Anadolu Lisesi</t>
  </si>
  <si>
    <t>80.Yıl Cumhuriyet Ortaokulu</t>
  </si>
  <si>
    <t>Hayat Boyu Öğrenme Genel Müdürlüğü</t>
  </si>
  <si>
    <t>Uzaktan Videolu Eğitim</t>
  </si>
  <si>
    <r>
      <t xml:space="preserve">Sertifika sahibi Öğretmen yok  </t>
    </r>
    <r>
      <rPr>
        <sz val="10"/>
        <color theme="4"/>
        <rFont val="Arial"/>
        <family val="2"/>
        <charset val="162"/>
        <scheme val="minor"/>
      </rPr>
      <t>Soner KARADUMAN</t>
    </r>
    <r>
      <rPr>
        <sz val="10"/>
        <rFont val="Arial"/>
        <family val="2"/>
        <charset val="162"/>
        <scheme val="minor"/>
      </rPr>
      <t>,</t>
    </r>
    <r>
      <rPr>
        <sz val="10"/>
        <color rgb="FFFF0000"/>
        <rFont val="Arial"/>
        <family val="2"/>
        <charset val="162"/>
        <scheme val="minor"/>
      </rPr>
      <t xml:space="preserve">  Pazartesi, Çarşamba -15.30</t>
    </r>
  </si>
  <si>
    <r>
      <rPr>
        <sz val="10"/>
        <color theme="4"/>
        <rFont val="Arial"/>
        <family val="2"/>
        <charset val="162"/>
        <scheme val="minor"/>
      </rPr>
      <t>Deniz Nurlu</t>
    </r>
    <r>
      <rPr>
        <sz val="10"/>
        <color theme="1"/>
        <rFont val="Arial"/>
        <family val="2"/>
        <charset val="162"/>
        <scheme val="minor"/>
      </rPr>
      <t xml:space="preserve">, Mesut Kural, </t>
    </r>
    <r>
      <rPr>
        <sz val="10"/>
        <color theme="4"/>
        <rFont val="Arial"/>
        <family val="2"/>
        <charset val="162"/>
        <scheme val="minor"/>
      </rPr>
      <t>Müge Olut</t>
    </r>
  </si>
  <si>
    <r>
      <t xml:space="preserve">AHMET KOYUNCUOĞLU, </t>
    </r>
    <r>
      <rPr>
        <sz val="10"/>
        <color theme="4"/>
        <rFont val="Arial"/>
        <family val="2"/>
        <charset val="162"/>
        <scheme val="minor"/>
      </rPr>
      <t>ULAŞ ÖZGÜR ÖZBİLGİN, ZEKİYE KARAKAYA, AYTEN TÜRKBAY</t>
    </r>
  </si>
  <si>
    <t>Kübra Açacak çalışmalar devam ediyor.</t>
  </si>
  <si>
    <r>
      <t>Bilgisayar öğretmenimiz yok.</t>
    </r>
    <r>
      <rPr>
        <sz val="10"/>
        <color theme="5"/>
        <rFont val="Arial"/>
        <family val="2"/>
        <charset val="162"/>
        <scheme val="minor"/>
      </rPr>
      <t xml:space="preserve"> Gökay TAŞDELEN</t>
    </r>
    <r>
      <rPr>
        <sz val="10"/>
        <color rgb="FFFF0000"/>
        <rFont val="Arial"/>
        <family val="2"/>
        <charset val="162"/>
        <scheme val="minor"/>
      </rPr>
      <t xml:space="preserve"> (Pazartesi, Perşembe 16.30 dan sonra, Salı,Çarşamba 17.00 dan sonra)</t>
    </r>
  </si>
  <si>
    <t>Mehmet Hilmi GÜRAL</t>
  </si>
  <si>
    <t>Suat ALAY</t>
  </si>
  <si>
    <t>Bilal İNCİ (Salı, Çarşamba,Perşembe 17.00-19.00)</t>
  </si>
  <si>
    <t>Öcan DEMİR</t>
  </si>
  <si>
    <t>Telefon</t>
  </si>
  <si>
    <t>AÇIKLAMA</t>
  </si>
  <si>
    <t>İsmail Muştu KADROLU Bilgisayar öğretmeni</t>
  </si>
  <si>
    <t>Kadrolu öğretmenleri yok ilçe milli eğitim tarafından öğretmen bulundu.</t>
  </si>
  <si>
    <t>Okulun öğretmeni</t>
  </si>
  <si>
    <t>Kadrolu öğretmenleri yok. Diğer branşlardan başka öğretmen kurs açabilir.</t>
  </si>
  <si>
    <t>Okul müdürünü ben yeni aradım.</t>
  </si>
  <si>
    <t>Okulun öğretmenleri</t>
  </si>
  <si>
    <t>Osman ÇIRAK usta öğretici</t>
  </si>
  <si>
    <t xml:space="preserve">Muharrem Kul </t>
  </si>
  <si>
    <t>Muharrem KUL kadrolu bilgisayar öğretmeni. Yeğitek okul sorumlusu kurs ücreti ödeme sorunu var.</t>
  </si>
  <si>
    <t>Gülfem Geçim okulun kadrolu öğretmeni. Yeğitek okul sorumlusu kurs ücreti ödeme sorunu var.</t>
  </si>
  <si>
    <t>KODLAMA KURSU DURUMU</t>
  </si>
  <si>
    <t>Kadrolu öğretmenleri yok. Halk Eğitim BT öğretmeni ayarlandı</t>
  </si>
  <si>
    <r>
      <rPr>
        <sz val="12"/>
        <color theme="5"/>
        <rFont val="Arial"/>
        <family val="2"/>
        <charset val="162"/>
        <scheme val="minor"/>
      </rPr>
      <t>Gökay TAŞDELEN</t>
    </r>
    <r>
      <rPr>
        <sz val="12"/>
        <color rgb="FFFF0000"/>
        <rFont val="Arial"/>
        <family val="2"/>
        <charset val="162"/>
        <scheme val="minor"/>
      </rPr>
      <t xml:space="preserve"> (Pazartesi, Perşembe 16.30 dan sonra, Salı,Çarşamba 17.00 dan sonra)</t>
    </r>
  </si>
  <si>
    <r>
      <rPr>
        <sz val="12"/>
        <color theme="4"/>
        <rFont val="Arial"/>
        <family val="2"/>
        <charset val="162"/>
        <scheme val="minor"/>
      </rPr>
      <t>Soner KARADUMAN</t>
    </r>
    <r>
      <rPr>
        <sz val="12"/>
        <rFont val="Arial"/>
        <family val="2"/>
        <charset val="162"/>
        <scheme val="minor"/>
      </rPr>
      <t>,</t>
    </r>
    <r>
      <rPr>
        <sz val="12"/>
        <color rgb="FFFF0000"/>
        <rFont val="Arial"/>
        <family val="2"/>
        <charset val="162"/>
        <scheme val="minor"/>
      </rPr>
      <t xml:space="preserve">  Pazartesi, Çarşamba -15.30</t>
    </r>
  </si>
  <si>
    <r>
      <rPr>
        <sz val="12"/>
        <color theme="4"/>
        <rFont val="Arial"/>
        <family val="2"/>
        <charset val="162"/>
        <scheme val="minor"/>
      </rPr>
      <t>Deniz Nurlu</t>
    </r>
    <r>
      <rPr>
        <sz val="12"/>
        <color theme="1"/>
        <rFont val="Arial"/>
        <family val="2"/>
        <charset val="162"/>
        <scheme val="minor"/>
      </rPr>
      <t xml:space="preserve">, Mesut Kural, </t>
    </r>
    <r>
      <rPr>
        <sz val="12"/>
        <color theme="4"/>
        <rFont val="Arial"/>
        <family val="2"/>
        <charset val="162"/>
        <scheme val="minor"/>
      </rPr>
      <t>Müge Olut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</si>
</sst>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1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2"/>
      <scheme val="minor"/>
    </font>
    <font>
      <sz val="10"/>
      <color rgb="FFFF0000"/>
      <name val="Arial"/>
      <family val="2"/>
      <charset val="162"/>
      <scheme val="minor"/>
    </font>
    <font>
      <sz val="10"/>
      <color rgb="FF000000"/>
      <name val="Arial"/>
      <family val="2"/>
      <charset val="162"/>
      <scheme val="minor"/>
    </font>
    <font>
      <sz val="10"/>
      <name val="Arial"/>
      <family val="2"/>
      <charset val="162"/>
      <scheme val="minor"/>
    </font>
    <font>
      <sz val="10"/>
      <name val="Arial"/>
      <family val="2"/>
      <charset val="162"/>
    </font>
    <font>
      <b/>
      <u/>
      <sz val="10"/>
      <name val="Times New Roman"/>
      <family val="1"/>
      <charset val="162"/>
    </font>
    <font>
      <sz val="10"/>
      <name val="Times New Roman"/>
      <family val="1"/>
      <charset val="162"/>
    </font>
    <font>
      <sz val="14"/>
      <name val="Times New Roman"/>
      <family val="1"/>
      <charset val="162"/>
    </font>
    <font>
      <sz val="10"/>
      <name val="Times New Roman"/>
      <family val="1"/>
      <charset val="162"/>
    </font>
    <font>
      <sz val="10"/>
      <color rgb="FF000000"/>
      <name val="Open Sans"/>
      <charset val="162"/>
    </font>
    <font>
      <sz val="10"/>
      <color rgb="FF333333"/>
      <name val="Open Sans"/>
      <charset val="162"/>
    </font>
    <font>
      <sz val="10"/>
      <color theme="4"/>
      <name val="Arial"/>
      <family val="2"/>
      <charset val="162"/>
      <scheme val="minor"/>
    </font>
    <font>
      <sz val="10"/>
      <color theme="5"/>
      <name val="Arial"/>
      <family val="2"/>
      <charset val="162"/>
      <scheme val="minor"/>
    </font>
    <font>
      <sz val="12"/>
      <color rgb="FF000000"/>
      <name val="Arial"/>
      <family val="2"/>
      <charset val="162"/>
      <scheme val="minor"/>
    </font>
    <font>
      <sz val="14"/>
      <color rgb="FF000000"/>
      <name val="Arial"/>
      <family val="2"/>
      <charset val="162"/>
      <scheme val="minor"/>
    </font>
    <font>
      <sz val="12"/>
      <color theme="1"/>
      <name val="Arial"/>
      <family val="2"/>
      <charset val="162"/>
      <scheme val="minor"/>
    </font>
    <font>
      <sz val="12"/>
      <color theme="4"/>
      <name val="Arial"/>
      <family val="2"/>
      <charset val="162"/>
      <scheme val="minor"/>
    </font>
    <font>
      <sz val="12"/>
      <name val="Arial"/>
      <family val="2"/>
      <charset val="162"/>
      <scheme val="minor"/>
    </font>
    <font>
      <sz val="12"/>
      <color rgb="FFFF0000"/>
      <name val="Arial"/>
      <family val="2"/>
      <charset val="162"/>
      <scheme val="minor"/>
    </font>
    <font>
      <sz val="12"/>
      <color theme="5"/>
      <name val="Arial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rgb="FFFFFFFF"/>
        <bgColor indexed="64"/>
      </patternFill>
    </fill>
    <fill>
      <patternFill patternType="solid">
        <fgColor rgb="FFFBFAFA"/>
        <bgColor indexed="64"/>
      </patternFill>
    </fill>
    <fill>
      <patternFill patternType="solid">
        <fgColor rgb="FFEEEEEE"/>
        <bgColor indexed="64"/>
      </patternFill>
    </fill>
  </fills>
  <borders count="18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3F86"/>
      </left>
      <right/>
      <top style="thin">
        <color rgb="FF442F65"/>
      </top>
      <bottom style="thin">
        <color rgb="FF442F65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 style="thin">
        <color rgb="FFFFFFFF"/>
      </left>
      <right/>
      <top style="thin">
        <color rgb="FFFFFFFF"/>
      </top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5B3F86"/>
      </right>
      <top style="thin">
        <color rgb="FF442F65"/>
      </top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 style="thin">
        <color rgb="FF5B3F86"/>
      </left>
      <right style="thin">
        <color rgb="FF442F65"/>
      </right>
      <top style="thin">
        <color rgb="FF442F65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DEDEDE"/>
      </bottom>
      <diagonal/>
    </border>
    <border>
      <left style="thin">
        <color rgb="FF5B3F86"/>
      </left>
      <right/>
      <top style="thin">
        <color rgb="FF442F6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4">
    <xf numFmtId="0" fontId="0" fillId="0" borderId="0" xfId="0"/>
    <xf numFmtId="164" fontId="1" fillId="0" borderId="2" xfId="0" applyNumberFormat="1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0" fillId="3" borderId="0" xfId="0" applyFill="1"/>
    <xf numFmtId="0" fontId="1" fillId="3" borderId="6" xfId="0" applyFont="1" applyFill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0" fillId="0" borderId="0" xfId="0" applyAlignment="1">
      <alignment horizontal="right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0" fillId="0" borderId="5" xfId="0" applyBorder="1"/>
    <xf numFmtId="0" fontId="3" fillId="2" borderId="5" xfId="0" applyFont="1" applyFill="1" applyBorder="1"/>
    <xf numFmtId="0" fontId="5" fillId="0" borderId="0" xfId="1"/>
    <xf numFmtId="0" fontId="6" fillId="0" borderId="0" xfId="1" applyFont="1"/>
    <xf numFmtId="0" fontId="7" fillId="0" borderId="0" xfId="1" applyFont="1"/>
    <xf numFmtId="0" fontId="7" fillId="2" borderId="0" xfId="1" applyFont="1" applyFill="1"/>
    <xf numFmtId="0" fontId="5" fillId="2" borderId="0" xfId="1" applyFill="1"/>
    <xf numFmtId="0" fontId="8" fillId="0" borderId="0" xfId="1" applyFont="1"/>
    <xf numFmtId="0" fontId="4" fillId="2" borderId="5" xfId="0" applyFont="1" applyFill="1" applyBorder="1" applyAlignment="1">
      <alignment vertical="center"/>
    </xf>
    <xf numFmtId="0" fontId="9" fillId="0" borderId="0" xfId="1" applyFont="1"/>
    <xf numFmtId="0" fontId="1" fillId="4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9" fillId="3" borderId="5" xfId="1" applyFont="1" applyFill="1" applyBorder="1"/>
    <xf numFmtId="0" fontId="1" fillId="3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10" fillId="7" borderId="15" xfId="0" applyFont="1" applyFill="1" applyBorder="1" applyAlignment="1">
      <alignment horizontal="right" vertical="center" wrapText="1"/>
    </xf>
    <xf numFmtId="0" fontId="10" fillId="7" borderId="15" xfId="0" applyFont="1" applyFill="1" applyBorder="1" applyAlignment="1">
      <alignment horizontal="left" vertical="center" wrapText="1"/>
    </xf>
    <xf numFmtId="14" fontId="10" fillId="7" borderId="15" xfId="0" applyNumberFormat="1" applyFont="1" applyFill="1" applyBorder="1" applyAlignment="1">
      <alignment horizontal="center" vertical="center"/>
    </xf>
    <xf numFmtId="17" fontId="10" fillId="7" borderId="15" xfId="0" applyNumberFormat="1" applyFont="1" applyFill="1" applyBorder="1" applyAlignment="1">
      <alignment horizontal="right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right" vertical="center" wrapText="1"/>
    </xf>
    <xf numFmtId="0" fontId="11" fillId="8" borderId="15" xfId="0" applyFont="1" applyFill="1" applyBorder="1" applyAlignment="1">
      <alignment horizontal="right" vertical="center" wrapText="1"/>
    </xf>
    <xf numFmtId="0" fontId="11" fillId="8" borderId="15" xfId="0" applyFont="1" applyFill="1" applyBorder="1" applyAlignment="1">
      <alignment horizontal="left" vertical="center" wrapText="1"/>
    </xf>
    <xf numFmtId="14" fontId="11" fillId="8" borderId="15" xfId="0" applyNumberFormat="1" applyFont="1" applyFill="1" applyBorder="1" applyAlignment="1">
      <alignment horizontal="center" vertical="center"/>
    </xf>
    <xf numFmtId="17" fontId="11" fillId="8" borderId="15" xfId="0" applyNumberFormat="1" applyFont="1" applyFill="1" applyBorder="1" applyAlignment="1">
      <alignment horizontal="right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right" vertical="center" wrapText="1"/>
    </xf>
    <xf numFmtId="0" fontId="10" fillId="9" borderId="15" xfId="0" applyFont="1" applyFill="1" applyBorder="1" applyAlignment="1">
      <alignment horizontal="left" vertical="center" wrapText="1"/>
    </xf>
    <xf numFmtId="14" fontId="10" fillId="9" borderId="15" xfId="0" applyNumberFormat="1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vertical="center"/>
    </xf>
    <xf numFmtId="0" fontId="17" fillId="3" borderId="5" xfId="0" applyFont="1" applyFill="1" applyBorder="1" applyAlignment="1">
      <alignment vertical="center" wrapText="1"/>
    </xf>
    <xf numFmtId="0" fontId="16" fillId="3" borderId="5" xfId="0" applyFont="1" applyFill="1" applyBorder="1" applyAlignment="1">
      <alignment horizontal="left" vertical="center"/>
    </xf>
    <xf numFmtId="0" fontId="16" fillId="3" borderId="17" xfId="0" applyFont="1" applyFill="1" applyBorder="1" applyAlignment="1">
      <alignment vertical="center"/>
    </xf>
    <xf numFmtId="0" fontId="14" fillId="3" borderId="5" xfId="0" applyFont="1" applyFill="1" applyBorder="1" applyAlignment="1">
      <alignment horizontal="left" vertical="center" wrapText="1"/>
    </xf>
    <xf numFmtId="0" fontId="18" fillId="3" borderId="5" xfId="0" applyFont="1" applyFill="1" applyBorder="1" applyAlignment="1">
      <alignment vertical="center" wrapText="1"/>
    </xf>
    <xf numFmtId="0" fontId="14" fillId="3" borderId="5" xfId="0" applyFont="1" applyFill="1" applyBorder="1"/>
    <xf numFmtId="0" fontId="19" fillId="3" borderId="5" xfId="0" applyFont="1" applyFill="1" applyBorder="1" applyAlignment="1">
      <alignment vertical="center" wrapText="1"/>
    </xf>
    <xf numFmtId="0" fontId="16" fillId="3" borderId="5" xfId="0" applyFont="1" applyFill="1" applyBorder="1" applyAlignment="1">
      <alignment vertical="center" wrapText="1"/>
    </xf>
    <xf numFmtId="0" fontId="14" fillId="3" borderId="17" xfId="0" applyFont="1" applyFill="1" applyBorder="1"/>
    <xf numFmtId="0" fontId="18" fillId="3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/>
    </xf>
    <xf numFmtId="0" fontId="16" fillId="3" borderId="12" xfId="0" applyFont="1" applyFill="1" applyBorder="1" applyAlignment="1">
      <alignment horizontal="left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2">
    <cellStyle name="Normal" xfId="0" builtinId="0"/>
    <cellStyle name="Normal 2" xfId="1" xr:uid="{D161CF01-073C-41A4-B2B1-86B02EBA82CE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6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Yanıtları 1-style" pivot="0" count="3" xr9:uid="{00000000-0011-0000-FFFF-FFFF00000000}">
      <tableStyleElement type="headerRow" dxfId="54"/>
      <tableStyleElement type="firstRowStripe" dxfId="53"/>
      <tableStyleElement type="secondRowStripe" dxfId="5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2390775</xdr:colOff>
      <xdr:row>4</xdr:row>
      <xdr:rowOff>114300</xdr:rowOff>
    </xdr:from>
    <xdr:ext cx="184731" cy="254557"/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BB79266D-3950-8588-3D68-2D46C3DBAAE2}"/>
            </a:ext>
          </a:extLst>
        </xdr:cNvPr>
        <xdr:cNvSpPr txBox="1"/>
      </xdr:nvSpPr>
      <xdr:spPr>
        <a:xfrm>
          <a:off x="2905125" y="238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lgi%20&#304;&#351;lem\2024-2025\OneDrive%20-%20Ataturk%20University\2025-2026\Robotik%20Kodlama\&#304;statistik\BT_Tablosu%20son.xlsx" TargetMode="External"/><Relationship Id="rId1" Type="http://schemas.openxmlformats.org/officeDocument/2006/relationships/externalLinkPath" Target="BT_Tablosu%20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2"/>
      <sheetName val="BT Durumu"/>
      <sheetName val="Bilgisayarı olan okullarımız"/>
      <sheetName val="Bilgisayarı olmayan okullar"/>
    </sheetNames>
    <sheetDataSet>
      <sheetData sheetId="0"/>
      <sheetData sheetId="1"/>
      <sheetData sheetId="2">
        <row r="4">
          <cell r="H4" t="str">
            <v>Ali Rıza Eroğlu İlkokulu</v>
          </cell>
          <cell r="L4">
            <v>830</v>
          </cell>
        </row>
        <row r="5">
          <cell r="H5" t="str">
            <v>Zübeyde Hanım Ortaokulu</v>
          </cell>
          <cell r="L5">
            <v>764</v>
          </cell>
        </row>
        <row r="6">
          <cell r="H6" t="str">
            <v>100.Yıl İlkokulu</v>
          </cell>
          <cell r="L6">
            <v>728</v>
          </cell>
        </row>
        <row r="7">
          <cell r="H7" t="str">
            <v>Osman Nuri Ersezgin Ortaokulu</v>
          </cell>
          <cell r="L7">
            <v>723</v>
          </cell>
        </row>
        <row r="8">
          <cell r="H8" t="str">
            <v>Mualla Ersezgin Ortaokulu</v>
          </cell>
          <cell r="L8">
            <v>709</v>
          </cell>
        </row>
        <row r="9">
          <cell r="H9" t="str">
            <v>Osman Nuri Ersezgin İlkokulu</v>
          </cell>
          <cell r="L9">
            <v>704</v>
          </cell>
        </row>
        <row r="10">
          <cell r="H10" t="str">
            <v>Fatih İlkokulu</v>
          </cell>
          <cell r="L10">
            <v>674</v>
          </cell>
        </row>
        <row r="11">
          <cell r="H11" t="str">
            <v>Bergama Yusuf Kemalettin Perin Mesleki ve Teknik Anadolu Lisesi</v>
          </cell>
          <cell r="L11">
            <v>626</v>
          </cell>
        </row>
        <row r="12">
          <cell r="H12" t="str">
            <v>100. Yıl Ortaokulu</v>
          </cell>
          <cell r="L12">
            <v>620</v>
          </cell>
        </row>
        <row r="13">
          <cell r="H13" t="str">
            <v>Şehit Ömer Yiğit Ulus Mesleki ve Teknik Anadolu Lisesi</v>
          </cell>
          <cell r="L13">
            <v>510</v>
          </cell>
        </row>
        <row r="14">
          <cell r="H14" t="str">
            <v>Bergama Bakırçay Mesleki ve Teknik Anadolu Lisesi</v>
          </cell>
          <cell r="L14">
            <v>436</v>
          </cell>
        </row>
        <row r="15">
          <cell r="H15" t="str">
            <v>Bergamalı Anadolu İmam Hatip Lisesi</v>
          </cell>
          <cell r="L15">
            <v>370</v>
          </cell>
        </row>
        <row r="16">
          <cell r="H16" t="str">
            <v>Yusuf Kemalettin Perin Fen Lisesi</v>
          </cell>
          <cell r="L16">
            <v>343</v>
          </cell>
        </row>
        <row r="17">
          <cell r="H17" t="str">
            <v>Ulubatlı Hasan İlkokulu</v>
          </cell>
          <cell r="L17">
            <v>331</v>
          </cell>
        </row>
        <row r="18">
          <cell r="H18" t="str">
            <v>Bergama Kız Anadolu İmam Hatip Lisesi</v>
          </cell>
          <cell r="L18">
            <v>320</v>
          </cell>
        </row>
        <row r="19">
          <cell r="H19" t="str">
            <v>80.Yıl Cumhuriyet Ortaokulu</v>
          </cell>
          <cell r="L19">
            <v>223</v>
          </cell>
        </row>
        <row r="20">
          <cell r="H20" t="str">
            <v>Bergama Bilim ve Sanat Merkezi</v>
          </cell>
          <cell r="L20">
            <v>197</v>
          </cell>
        </row>
        <row r="21">
          <cell r="H21" t="str">
            <v>Cumhuriyet Anadolu Lisesi</v>
          </cell>
          <cell r="L21">
            <v>183</v>
          </cell>
        </row>
        <row r="22">
          <cell r="H22" t="str">
            <v>Gazi Ortaokulu</v>
          </cell>
          <cell r="L22">
            <v>180</v>
          </cell>
        </row>
        <row r="23">
          <cell r="H23" t="str">
            <v>Zeytindağ Yılmaz Ortaokulu</v>
          </cell>
          <cell r="L23">
            <v>175</v>
          </cell>
        </row>
        <row r="24">
          <cell r="H24" t="str">
            <v>Şehit Ümit Özerli Ortaokulu</v>
          </cell>
          <cell r="L24">
            <v>174</v>
          </cell>
        </row>
        <row r="25">
          <cell r="H25" t="str">
            <v>Gazi İlkokulu</v>
          </cell>
          <cell r="L25">
            <v>167</v>
          </cell>
        </row>
        <row r="26">
          <cell r="H26" t="str">
            <v>Şehit Üsteğmen Cemil Canan Çiçek İmam Hatip Ortaokulu</v>
          </cell>
          <cell r="L26">
            <v>162</v>
          </cell>
        </row>
        <row r="27">
          <cell r="H27" t="str">
            <v>Atatürk İlkokulu</v>
          </cell>
          <cell r="L27">
            <v>149</v>
          </cell>
        </row>
        <row r="28">
          <cell r="H28" t="str">
            <v>Fevzipaşa İlkokulu</v>
          </cell>
          <cell r="L28">
            <v>149</v>
          </cell>
        </row>
        <row r="29">
          <cell r="H29" t="str">
            <v>Selçukbey İlkokulu</v>
          </cell>
          <cell r="L29">
            <v>118</v>
          </cell>
        </row>
        <row r="30">
          <cell r="H30" t="str">
            <v>Göçbeyli İlkokulu</v>
          </cell>
          <cell r="L30">
            <v>117</v>
          </cell>
        </row>
        <row r="31">
          <cell r="H31" t="str">
            <v>Ayaskent İrfan Kırdar Ortaokulu</v>
          </cell>
          <cell r="L31">
            <v>112</v>
          </cell>
        </row>
        <row r="32">
          <cell r="H32" t="str">
            <v>Yukarıbey Ortaokulu</v>
          </cell>
          <cell r="L32">
            <v>107</v>
          </cell>
        </row>
        <row r="33">
          <cell r="H33" t="str">
            <v>Ulubatlı Hasan İmam Hatip Ortaokulu</v>
          </cell>
          <cell r="L33">
            <v>103</v>
          </cell>
        </row>
        <row r="34">
          <cell r="H34" t="str">
            <v>14 Eylül İlkokulu</v>
          </cell>
          <cell r="L34">
            <v>101</v>
          </cell>
        </row>
        <row r="35">
          <cell r="H35" t="str">
            <v>Bergama Anadolu İmam Hatip Lisesi</v>
          </cell>
          <cell r="L35">
            <v>98</v>
          </cell>
        </row>
        <row r="36">
          <cell r="H36" t="str">
            <v>Yeniköy Ortaokulu</v>
          </cell>
          <cell r="L36">
            <v>73</v>
          </cell>
        </row>
        <row r="37">
          <cell r="H37" t="str">
            <v>Sağancı Yunus Şahinkoç Ortaokulu</v>
          </cell>
          <cell r="L37">
            <v>70</v>
          </cell>
        </row>
        <row r="38">
          <cell r="H38" t="str">
            <v>Yukarıbey İlkokulu</v>
          </cell>
          <cell r="L38">
            <v>69</v>
          </cell>
        </row>
        <row r="39">
          <cell r="H39" t="str">
            <v>Dereköy Ebso İlkokulu</v>
          </cell>
          <cell r="L39">
            <v>68</v>
          </cell>
        </row>
        <row r="40">
          <cell r="H40" t="str">
            <v>Bergama Güzel Sanatlar Lisesi</v>
          </cell>
          <cell r="L40">
            <v>61</v>
          </cell>
        </row>
        <row r="41">
          <cell r="H41" t="str">
            <v>Göçbeyli Ortaokulu</v>
          </cell>
          <cell r="L41">
            <v>61</v>
          </cell>
        </row>
        <row r="42">
          <cell r="H42" t="str">
            <v>Yeniköy İlkokulu</v>
          </cell>
          <cell r="L42">
            <v>59</v>
          </cell>
        </row>
        <row r="43">
          <cell r="H43" t="str">
            <v>Bergama Kozak Çok Programlı Anadolu Lisesi</v>
          </cell>
          <cell r="L43">
            <v>51</v>
          </cell>
        </row>
        <row r="44">
          <cell r="H44" t="str">
            <v>Bergama Zeytindağ Çok Programlı Anadolu Lisesi</v>
          </cell>
          <cell r="L44">
            <v>46</v>
          </cell>
        </row>
        <row r="45">
          <cell r="H45" t="str">
            <v>Bölcek İlkokulu</v>
          </cell>
          <cell r="L45">
            <v>42</v>
          </cell>
        </row>
        <row r="46">
          <cell r="H46" t="str">
            <v>Bölcek Ortaokulu</v>
          </cell>
          <cell r="L46">
            <v>39</v>
          </cell>
        </row>
        <row r="47">
          <cell r="H47" t="str">
            <v>Bergama Göçbeyli Çok Programlı Anadolu Lisesi</v>
          </cell>
          <cell r="L47">
            <v>33</v>
          </cell>
        </row>
        <row r="48">
          <cell r="H48" t="str">
            <v>Aşağıbey Ortaokulu</v>
          </cell>
          <cell r="L48">
            <v>29</v>
          </cell>
        </row>
        <row r="49">
          <cell r="H49" t="str">
            <v>Sağancı İlkokulu</v>
          </cell>
          <cell r="L49">
            <v>23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61" headerRowDxfId="51">
  <sortState xmlns:xlrd2="http://schemas.microsoft.com/office/spreadsheetml/2017/richdata2" ref="A2:M59">
    <sortCondition ref="E2:E59"/>
  </sortState>
  <tableColumns count="13">
    <tableColumn id="1" xr3:uid="{00000000-0010-0000-0000-000001000000}" name="Zaman damgası"/>
    <tableColumn id="2" xr3:uid="{00000000-0010-0000-0000-000002000000}" name="Okul türü"/>
    <tableColumn id="3" xr3:uid="{1A68C121-3FF3-413A-80C4-0CEB0404BFA5}" name="Sıra NO" dataDxfId="50"/>
    <tableColumn id="4" xr3:uid="{00000000-0010-0000-0000-000004000000}" name="Ortaokul Adı" dataDxfId="49"/>
    <tableColumn id="6" xr3:uid="{00000000-0010-0000-0000-000006000000}" name="Okulunuzda kaç kurs açmayı planlıyorsunuz?" dataDxfId="48"/>
    <tableColumn id="7" xr3:uid="{00000000-0010-0000-0000-000007000000}" name="Açılacak kurslarda toplam kaç öğrenci eğitim alacak?" dataDxfId="47"/>
    <tableColumn id="5" xr3:uid="{B9736D0A-F0AF-42D1-9EBB-AFBEDE97DB8F}" name="Öğrenci Sayısı" dataDxfId="46">
      <calculatedColumnFormula>_xlfn.XLOOKUP('[1]Bilgisayarı olan okullarımız'!$L$4,'[1]Bilgisayarı olan okullarımız'!$H$4:$H$49,'[1]Bilgisayarı olan okullarımız'!$L$4:$L$49)</calculatedColumnFormula>
    </tableColumn>
    <tableColumn id="8" xr3:uid="{00000000-0010-0000-0000-000008000000}" name="Kurs açacak öğretmenin adı soyadı ( Kurs açacak öğretmen birden çoksa öğretmen isimlerinin arasına virgül koyarak yazınız.)" dataDxfId="45"/>
    <tableColumn id="9" xr3:uid="{00000000-0010-0000-0000-000009000000}" name="Kurs Açamama Sebebiniz Nedir? (Soru Anaokulu, Lise ve Dengi okullar içindir.)" dataDxfId="44"/>
    <tableColumn id="10" xr3:uid="{00000000-0010-0000-0000-00000A000000}" name="Kurs Açamama Sebebiniz Nedir? (Soru ilkokul ve ortaokullar için)" dataDxfId="43"/>
    <tableColumn id="11" xr3:uid="{00000000-0010-0000-0000-00000B000000}" name="Adı Soyadı" dataDxfId="42"/>
    <tableColumn id="12" xr3:uid="{00000000-0010-0000-0000-00000C000000}" name="Ünvanı" dataDxfId="41"/>
    <tableColumn id="13" xr3:uid="{00000000-0010-0000-0000-00000D000000}" name="1. sütun" dataDxfId="40"/>
  </tableColumns>
  <tableStyleInfo name="Form Yanıtları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E43113-F340-4513-B08C-E9E19FD3B9EC}" name="Form_Responses34" displayName="Form_Responses34" ref="A1:M45" headerRowDxfId="39">
  <sortState xmlns:xlrd2="http://schemas.microsoft.com/office/spreadsheetml/2017/richdata2" ref="A2:M43">
    <sortCondition ref="E2:E43"/>
  </sortState>
  <tableColumns count="13">
    <tableColumn id="1" xr3:uid="{E3158025-068B-426D-848D-433953037E5B}" name="Zaman damgası"/>
    <tableColumn id="2" xr3:uid="{D53E195D-7A55-43CD-AF37-5D732D003375}" name="Okul türü"/>
    <tableColumn id="3" xr3:uid="{A233A395-25CC-4EE2-BC06-EF97752B027C}" name="Sıra NO" dataDxfId="38"/>
    <tableColumn id="4" xr3:uid="{5140DD70-6A1F-4773-9F00-43568250B567}" name="Ortaokul Adı" dataDxfId="37"/>
    <tableColumn id="6" xr3:uid="{0F06385F-5F68-4BE3-AD87-F37C2A832942}" name="Okulunuzda kaç kurs açmayı planlıyorsunuz?" dataDxfId="36"/>
    <tableColumn id="7" xr3:uid="{7E36C385-434D-4C00-8577-8BD7C1FB916F}" name="Açılacak kurslarda toplam kaç öğrenci eğitim alacak?" dataDxfId="35"/>
    <tableColumn id="5" xr3:uid="{FC367617-8F3A-4C7F-9CF0-1A42C007B199}" name="Öğrenci Sayısı" dataDxfId="34">
      <calculatedColumnFormula>_xlfn.XLOOKUP('[1]Bilgisayarı olan okullarımız'!$L$4,'[1]Bilgisayarı olan okullarımız'!$H$4:$H$49,'[1]Bilgisayarı olan okullarımız'!$L$4:$L$49)</calculatedColumnFormula>
    </tableColumn>
    <tableColumn id="8" xr3:uid="{5337F90C-DB7B-43B7-A802-D15A99C74C33}" name="Kurs açacak öğretmenin adı soyadı ( Kurs açacak öğretmen birden çoksa öğretmen isimlerinin arasına virgül koyarak yazınız.)" dataDxfId="33"/>
    <tableColumn id="9" xr3:uid="{09D8DBC9-3BF0-4C0C-8666-54CB40F595A4}" name="Kurs Açamama Sebebiniz Nedir? (Soru Anaokulu, Lise ve Dengi okullar içindir.)" dataDxfId="32"/>
    <tableColumn id="10" xr3:uid="{566FA606-157E-4400-90B8-6E1B99E1DD38}" name="Kurs Açamama Sebebiniz Nedir? (Soru ilkokul ve ortaokullar için)" dataDxfId="31"/>
    <tableColumn id="11" xr3:uid="{87AF9AC9-63F3-4983-B690-38BCADA5203E}" name="Adı Soyadı" dataDxfId="30"/>
    <tableColumn id="12" xr3:uid="{81EBB9E4-AB54-4BB1-AD02-E9AD24F90B55}" name="Ünvanı" dataDxfId="29"/>
    <tableColumn id="13" xr3:uid="{FBC72E30-AE8F-434E-B2F1-1212ED874A34}" name="1. sütun" dataDxfId="28"/>
  </tableColumns>
  <tableStyleInfo name="Form Yanıtları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B6F470-D258-4616-97AE-9767A5406997}" name="Form_Responses3" displayName="Form_Responses3" ref="A2:O38" headerRowDxfId="27">
  <sortState xmlns:xlrd2="http://schemas.microsoft.com/office/spreadsheetml/2017/richdata2" ref="A3:N36">
    <sortCondition ref="E3:E36"/>
  </sortState>
  <tableColumns count="15">
    <tableColumn id="1" xr3:uid="{B7FDA930-467B-4514-97F3-2937CB125ADB}" name="Zaman damgası"/>
    <tableColumn id="2" xr3:uid="{02D0FA70-0744-4E52-A565-BC8FC3781E70}" name="Okul türü"/>
    <tableColumn id="3" xr3:uid="{5242C2F5-7024-46D2-AA47-CB03D9AB119C}" name="Sıra NO" dataDxfId="26"/>
    <tableColumn id="4" xr3:uid="{36C59124-C89F-4E3A-985E-A32FACBDFE64}" name="Ortaokul Adı" dataDxfId="25"/>
    <tableColumn id="6" xr3:uid="{D0A47906-1E50-4C66-8A2C-DEFDE4BF722B}" name="Okulunuzda kaç kurs açmayı planlıyorsunuz?" dataDxfId="24"/>
    <tableColumn id="7" xr3:uid="{9E259C3B-FE1A-4D5F-9713-9367F061D1F2}" name="Açılacak kurslarda toplam kaç öğrenci eğitim alacak?" dataDxfId="23"/>
    <tableColumn id="5" xr3:uid="{A76E0387-0494-4239-9EA5-C75EAB9D1401}" name="Öğrenci Sayısı" dataDxfId="22">
      <calculatedColumnFormula>_xlfn.XLOOKUP('[1]Bilgisayarı olan okullarımız'!$L$4,'[1]Bilgisayarı olan okullarımız'!$H$4:$H$49,'[1]Bilgisayarı olan okullarımız'!$L$4:$L$49)</calculatedColumnFormula>
    </tableColumn>
    <tableColumn id="8" xr3:uid="{5629FEE8-64AB-4824-AF6C-DB66471ED2F1}" name="Kurs açacak öğretmenin adı soyadı ( Kurs açacak öğretmen birden çoksa öğretmen isimlerinin arasına virgül koyarak yazınız.)" dataDxfId="21"/>
    <tableColumn id="9" xr3:uid="{7B4B5C94-D292-4897-AD65-D43930B2F65F}" name="Kurs Açamama Sebebiniz Nedir? (Soru Anaokulu, Lise ve Dengi okullar içindir.)" dataDxfId="20"/>
    <tableColumn id="10" xr3:uid="{62FE5D93-259E-46A6-B54B-2FCA2EB49742}" name="Kurs Açamama Sebebiniz Nedir? (Soru ilkokul ve ortaokullar için)" dataDxfId="19"/>
    <tableColumn id="11" xr3:uid="{CD9BAB7C-F668-486F-9315-1186591427F7}" name="Adı Soyadı" dataDxfId="18"/>
    <tableColumn id="14" xr3:uid="{6D58A670-EE3A-42E5-BEF8-D9035F5DC07D}" name="Telefon"/>
    <tableColumn id="12" xr3:uid="{E305C9F5-EF15-407C-9B37-6C05058D94A3}" name="Ünvanı" dataDxfId="17"/>
    <tableColumn id="13" xr3:uid="{FD77460E-02D0-406F-A82A-BF19069B32F0}" name="1. sütun" dataDxfId="16"/>
    <tableColumn id="15" xr3:uid="{59BBC526-B807-481F-81B9-0AC73907BD68}" name="AÇIKLAMA" dataDxfId="15"/>
  </tableColumns>
  <tableStyleInfo name="Form Yanıtları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450B-A631-4686-8760-B71DC2CD72FB}">
  <dimension ref="A1:G16"/>
  <sheetViews>
    <sheetView workbookViewId="0">
      <selection activeCell="B32" sqref="B32"/>
    </sheetView>
  </sheetViews>
  <sheetFormatPr defaultRowHeight="12.75" x14ac:dyDescent="0.2"/>
  <cols>
    <col min="1" max="1" width="9.140625" style="28"/>
    <col min="2" max="2" width="62.5703125" style="28" bestFit="1" customWidth="1"/>
    <col min="3" max="3" width="35.140625" style="28" bestFit="1" customWidth="1"/>
    <col min="4" max="4" width="12" style="28" bestFit="1" customWidth="1"/>
    <col min="5" max="5" width="10" style="28" bestFit="1" customWidth="1"/>
    <col min="6" max="6" width="12" style="28" bestFit="1" customWidth="1"/>
    <col min="7" max="257" width="9.140625" style="28"/>
    <col min="258" max="258" width="62.5703125" style="28" bestFit="1" customWidth="1"/>
    <col min="259" max="259" width="35.140625" style="28" bestFit="1" customWidth="1"/>
    <col min="260" max="260" width="12" style="28" bestFit="1" customWidth="1"/>
    <col min="261" max="261" width="10" style="28" bestFit="1" customWidth="1"/>
    <col min="262" max="262" width="12" style="28" bestFit="1" customWidth="1"/>
    <col min="263" max="513" width="9.140625" style="28"/>
    <col min="514" max="514" width="62.5703125" style="28" bestFit="1" customWidth="1"/>
    <col min="515" max="515" width="35.140625" style="28" bestFit="1" customWidth="1"/>
    <col min="516" max="516" width="12" style="28" bestFit="1" customWidth="1"/>
    <col min="517" max="517" width="10" style="28" bestFit="1" customWidth="1"/>
    <col min="518" max="518" width="12" style="28" bestFit="1" customWidth="1"/>
    <col min="519" max="769" width="9.140625" style="28"/>
    <col min="770" max="770" width="62.5703125" style="28" bestFit="1" customWidth="1"/>
    <col min="771" max="771" width="35.140625" style="28" bestFit="1" customWidth="1"/>
    <col min="772" max="772" width="12" style="28" bestFit="1" customWidth="1"/>
    <col min="773" max="773" width="10" style="28" bestFit="1" customWidth="1"/>
    <col min="774" max="774" width="12" style="28" bestFit="1" customWidth="1"/>
    <col min="775" max="1025" width="9.140625" style="28"/>
    <col min="1026" max="1026" width="62.5703125" style="28" bestFit="1" customWidth="1"/>
    <col min="1027" max="1027" width="35.140625" style="28" bestFit="1" customWidth="1"/>
    <col min="1028" max="1028" width="12" style="28" bestFit="1" customWidth="1"/>
    <col min="1029" max="1029" width="10" style="28" bestFit="1" customWidth="1"/>
    <col min="1030" max="1030" width="12" style="28" bestFit="1" customWidth="1"/>
    <col min="1031" max="1281" width="9.140625" style="28"/>
    <col min="1282" max="1282" width="62.5703125" style="28" bestFit="1" customWidth="1"/>
    <col min="1283" max="1283" width="35.140625" style="28" bestFit="1" customWidth="1"/>
    <col min="1284" max="1284" width="12" style="28" bestFit="1" customWidth="1"/>
    <col min="1285" max="1285" width="10" style="28" bestFit="1" customWidth="1"/>
    <col min="1286" max="1286" width="12" style="28" bestFit="1" customWidth="1"/>
    <col min="1287" max="1537" width="9.140625" style="28"/>
    <col min="1538" max="1538" width="62.5703125" style="28" bestFit="1" customWidth="1"/>
    <col min="1539" max="1539" width="35.140625" style="28" bestFit="1" customWidth="1"/>
    <col min="1540" max="1540" width="12" style="28" bestFit="1" customWidth="1"/>
    <col min="1541" max="1541" width="10" style="28" bestFit="1" customWidth="1"/>
    <col min="1542" max="1542" width="12" style="28" bestFit="1" customWidth="1"/>
    <col min="1543" max="1793" width="9.140625" style="28"/>
    <col min="1794" max="1794" width="62.5703125" style="28" bestFit="1" customWidth="1"/>
    <col min="1795" max="1795" width="35.140625" style="28" bestFit="1" customWidth="1"/>
    <col min="1796" max="1796" width="12" style="28" bestFit="1" customWidth="1"/>
    <col min="1797" max="1797" width="10" style="28" bestFit="1" customWidth="1"/>
    <col min="1798" max="1798" width="12" style="28" bestFit="1" customWidth="1"/>
    <col min="1799" max="2049" width="9.140625" style="28"/>
    <col min="2050" max="2050" width="62.5703125" style="28" bestFit="1" customWidth="1"/>
    <col min="2051" max="2051" width="35.140625" style="28" bestFit="1" customWidth="1"/>
    <col min="2052" max="2052" width="12" style="28" bestFit="1" customWidth="1"/>
    <col min="2053" max="2053" width="10" style="28" bestFit="1" customWidth="1"/>
    <col min="2054" max="2054" width="12" style="28" bestFit="1" customWidth="1"/>
    <col min="2055" max="2305" width="9.140625" style="28"/>
    <col min="2306" max="2306" width="62.5703125" style="28" bestFit="1" customWidth="1"/>
    <col min="2307" max="2307" width="35.140625" style="28" bestFit="1" customWidth="1"/>
    <col min="2308" max="2308" width="12" style="28" bestFit="1" customWidth="1"/>
    <col min="2309" max="2309" width="10" style="28" bestFit="1" customWidth="1"/>
    <col min="2310" max="2310" width="12" style="28" bestFit="1" customWidth="1"/>
    <col min="2311" max="2561" width="9.140625" style="28"/>
    <col min="2562" max="2562" width="62.5703125" style="28" bestFit="1" customWidth="1"/>
    <col min="2563" max="2563" width="35.140625" style="28" bestFit="1" customWidth="1"/>
    <col min="2564" max="2564" width="12" style="28" bestFit="1" customWidth="1"/>
    <col min="2565" max="2565" width="10" style="28" bestFit="1" customWidth="1"/>
    <col min="2566" max="2566" width="12" style="28" bestFit="1" customWidth="1"/>
    <col min="2567" max="2817" width="9.140625" style="28"/>
    <col min="2818" max="2818" width="62.5703125" style="28" bestFit="1" customWidth="1"/>
    <col min="2819" max="2819" width="35.140625" style="28" bestFit="1" customWidth="1"/>
    <col min="2820" max="2820" width="12" style="28" bestFit="1" customWidth="1"/>
    <col min="2821" max="2821" width="10" style="28" bestFit="1" customWidth="1"/>
    <col min="2822" max="2822" width="12" style="28" bestFit="1" customWidth="1"/>
    <col min="2823" max="3073" width="9.140625" style="28"/>
    <col min="3074" max="3074" width="62.5703125" style="28" bestFit="1" customWidth="1"/>
    <col min="3075" max="3075" width="35.140625" style="28" bestFit="1" customWidth="1"/>
    <col min="3076" max="3076" width="12" style="28" bestFit="1" customWidth="1"/>
    <col min="3077" max="3077" width="10" style="28" bestFit="1" customWidth="1"/>
    <col min="3078" max="3078" width="12" style="28" bestFit="1" customWidth="1"/>
    <col min="3079" max="3329" width="9.140625" style="28"/>
    <col min="3330" max="3330" width="62.5703125" style="28" bestFit="1" customWidth="1"/>
    <col min="3331" max="3331" width="35.140625" style="28" bestFit="1" customWidth="1"/>
    <col min="3332" max="3332" width="12" style="28" bestFit="1" customWidth="1"/>
    <col min="3333" max="3333" width="10" style="28" bestFit="1" customWidth="1"/>
    <col min="3334" max="3334" width="12" style="28" bestFit="1" customWidth="1"/>
    <col min="3335" max="3585" width="9.140625" style="28"/>
    <col min="3586" max="3586" width="62.5703125" style="28" bestFit="1" customWidth="1"/>
    <col min="3587" max="3587" width="35.140625" style="28" bestFit="1" customWidth="1"/>
    <col min="3588" max="3588" width="12" style="28" bestFit="1" customWidth="1"/>
    <col min="3589" max="3589" width="10" style="28" bestFit="1" customWidth="1"/>
    <col min="3590" max="3590" width="12" style="28" bestFit="1" customWidth="1"/>
    <col min="3591" max="3841" width="9.140625" style="28"/>
    <col min="3842" max="3842" width="62.5703125" style="28" bestFit="1" customWidth="1"/>
    <col min="3843" max="3843" width="35.140625" style="28" bestFit="1" customWidth="1"/>
    <col min="3844" max="3844" width="12" style="28" bestFit="1" customWidth="1"/>
    <col min="3845" max="3845" width="10" style="28" bestFit="1" customWidth="1"/>
    <col min="3846" max="3846" width="12" style="28" bestFit="1" customWidth="1"/>
    <col min="3847" max="4097" width="9.140625" style="28"/>
    <col min="4098" max="4098" width="62.5703125" style="28" bestFit="1" customWidth="1"/>
    <col min="4099" max="4099" width="35.140625" style="28" bestFit="1" customWidth="1"/>
    <col min="4100" max="4100" width="12" style="28" bestFit="1" customWidth="1"/>
    <col min="4101" max="4101" width="10" style="28" bestFit="1" customWidth="1"/>
    <col min="4102" max="4102" width="12" style="28" bestFit="1" customWidth="1"/>
    <col min="4103" max="4353" width="9.140625" style="28"/>
    <col min="4354" max="4354" width="62.5703125" style="28" bestFit="1" customWidth="1"/>
    <col min="4355" max="4355" width="35.140625" style="28" bestFit="1" customWidth="1"/>
    <col min="4356" max="4356" width="12" style="28" bestFit="1" customWidth="1"/>
    <col min="4357" max="4357" width="10" style="28" bestFit="1" customWidth="1"/>
    <col min="4358" max="4358" width="12" style="28" bestFit="1" customWidth="1"/>
    <col min="4359" max="4609" width="9.140625" style="28"/>
    <col min="4610" max="4610" width="62.5703125" style="28" bestFit="1" customWidth="1"/>
    <col min="4611" max="4611" width="35.140625" style="28" bestFit="1" customWidth="1"/>
    <col min="4612" max="4612" width="12" style="28" bestFit="1" customWidth="1"/>
    <col min="4613" max="4613" width="10" style="28" bestFit="1" customWidth="1"/>
    <col min="4614" max="4614" width="12" style="28" bestFit="1" customWidth="1"/>
    <col min="4615" max="4865" width="9.140625" style="28"/>
    <col min="4866" max="4866" width="62.5703125" style="28" bestFit="1" customWidth="1"/>
    <col min="4867" max="4867" width="35.140625" style="28" bestFit="1" customWidth="1"/>
    <col min="4868" max="4868" width="12" style="28" bestFit="1" customWidth="1"/>
    <col min="4869" max="4869" width="10" style="28" bestFit="1" customWidth="1"/>
    <col min="4870" max="4870" width="12" style="28" bestFit="1" customWidth="1"/>
    <col min="4871" max="5121" width="9.140625" style="28"/>
    <col min="5122" max="5122" width="62.5703125" style="28" bestFit="1" customWidth="1"/>
    <col min="5123" max="5123" width="35.140625" style="28" bestFit="1" customWidth="1"/>
    <col min="5124" max="5124" width="12" style="28" bestFit="1" customWidth="1"/>
    <col min="5125" max="5125" width="10" style="28" bestFit="1" customWidth="1"/>
    <col min="5126" max="5126" width="12" style="28" bestFit="1" customWidth="1"/>
    <col min="5127" max="5377" width="9.140625" style="28"/>
    <col min="5378" max="5378" width="62.5703125" style="28" bestFit="1" customWidth="1"/>
    <col min="5379" max="5379" width="35.140625" style="28" bestFit="1" customWidth="1"/>
    <col min="5380" max="5380" width="12" style="28" bestFit="1" customWidth="1"/>
    <col min="5381" max="5381" width="10" style="28" bestFit="1" customWidth="1"/>
    <col min="5382" max="5382" width="12" style="28" bestFit="1" customWidth="1"/>
    <col min="5383" max="5633" width="9.140625" style="28"/>
    <col min="5634" max="5634" width="62.5703125" style="28" bestFit="1" customWidth="1"/>
    <col min="5635" max="5635" width="35.140625" style="28" bestFit="1" customWidth="1"/>
    <col min="5636" max="5636" width="12" style="28" bestFit="1" customWidth="1"/>
    <col min="5637" max="5637" width="10" style="28" bestFit="1" customWidth="1"/>
    <col min="5638" max="5638" width="12" style="28" bestFit="1" customWidth="1"/>
    <col min="5639" max="5889" width="9.140625" style="28"/>
    <col min="5890" max="5890" width="62.5703125" style="28" bestFit="1" customWidth="1"/>
    <col min="5891" max="5891" width="35.140625" style="28" bestFit="1" customWidth="1"/>
    <col min="5892" max="5892" width="12" style="28" bestFit="1" customWidth="1"/>
    <col min="5893" max="5893" width="10" style="28" bestFit="1" customWidth="1"/>
    <col min="5894" max="5894" width="12" style="28" bestFit="1" customWidth="1"/>
    <col min="5895" max="6145" width="9.140625" style="28"/>
    <col min="6146" max="6146" width="62.5703125" style="28" bestFit="1" customWidth="1"/>
    <col min="6147" max="6147" width="35.140625" style="28" bestFit="1" customWidth="1"/>
    <col min="6148" max="6148" width="12" style="28" bestFit="1" customWidth="1"/>
    <col min="6149" max="6149" width="10" style="28" bestFit="1" customWidth="1"/>
    <col min="6150" max="6150" width="12" style="28" bestFit="1" customWidth="1"/>
    <col min="6151" max="6401" width="9.140625" style="28"/>
    <col min="6402" max="6402" width="62.5703125" style="28" bestFit="1" customWidth="1"/>
    <col min="6403" max="6403" width="35.140625" style="28" bestFit="1" customWidth="1"/>
    <col min="6404" max="6404" width="12" style="28" bestFit="1" customWidth="1"/>
    <col min="6405" max="6405" width="10" style="28" bestFit="1" customWidth="1"/>
    <col min="6406" max="6406" width="12" style="28" bestFit="1" customWidth="1"/>
    <col min="6407" max="6657" width="9.140625" style="28"/>
    <col min="6658" max="6658" width="62.5703125" style="28" bestFit="1" customWidth="1"/>
    <col min="6659" max="6659" width="35.140625" style="28" bestFit="1" customWidth="1"/>
    <col min="6660" max="6660" width="12" style="28" bestFit="1" customWidth="1"/>
    <col min="6661" max="6661" width="10" style="28" bestFit="1" customWidth="1"/>
    <col min="6662" max="6662" width="12" style="28" bestFit="1" customWidth="1"/>
    <col min="6663" max="6913" width="9.140625" style="28"/>
    <col min="6914" max="6914" width="62.5703125" style="28" bestFit="1" customWidth="1"/>
    <col min="6915" max="6915" width="35.140625" style="28" bestFit="1" customWidth="1"/>
    <col min="6916" max="6916" width="12" style="28" bestFit="1" customWidth="1"/>
    <col min="6917" max="6917" width="10" style="28" bestFit="1" customWidth="1"/>
    <col min="6918" max="6918" width="12" style="28" bestFit="1" customWidth="1"/>
    <col min="6919" max="7169" width="9.140625" style="28"/>
    <col min="7170" max="7170" width="62.5703125" style="28" bestFit="1" customWidth="1"/>
    <col min="7171" max="7171" width="35.140625" style="28" bestFit="1" customWidth="1"/>
    <col min="7172" max="7172" width="12" style="28" bestFit="1" customWidth="1"/>
    <col min="7173" max="7173" width="10" style="28" bestFit="1" customWidth="1"/>
    <col min="7174" max="7174" width="12" style="28" bestFit="1" customWidth="1"/>
    <col min="7175" max="7425" width="9.140625" style="28"/>
    <col min="7426" max="7426" width="62.5703125" style="28" bestFit="1" customWidth="1"/>
    <col min="7427" max="7427" width="35.140625" style="28" bestFit="1" customWidth="1"/>
    <col min="7428" max="7428" width="12" style="28" bestFit="1" customWidth="1"/>
    <col min="7429" max="7429" width="10" style="28" bestFit="1" customWidth="1"/>
    <col min="7430" max="7430" width="12" style="28" bestFit="1" customWidth="1"/>
    <col min="7431" max="7681" width="9.140625" style="28"/>
    <col min="7682" max="7682" width="62.5703125" style="28" bestFit="1" customWidth="1"/>
    <col min="7683" max="7683" width="35.140625" style="28" bestFit="1" customWidth="1"/>
    <col min="7684" max="7684" width="12" style="28" bestFit="1" customWidth="1"/>
    <col min="7685" max="7685" width="10" style="28" bestFit="1" customWidth="1"/>
    <col min="7686" max="7686" width="12" style="28" bestFit="1" customWidth="1"/>
    <col min="7687" max="7937" width="9.140625" style="28"/>
    <col min="7938" max="7938" width="62.5703125" style="28" bestFit="1" customWidth="1"/>
    <col min="7939" max="7939" width="35.140625" style="28" bestFit="1" customWidth="1"/>
    <col min="7940" max="7940" width="12" style="28" bestFit="1" customWidth="1"/>
    <col min="7941" max="7941" width="10" style="28" bestFit="1" customWidth="1"/>
    <col min="7942" max="7942" width="12" style="28" bestFit="1" customWidth="1"/>
    <col min="7943" max="8193" width="9.140625" style="28"/>
    <col min="8194" max="8194" width="62.5703125" style="28" bestFit="1" customWidth="1"/>
    <col min="8195" max="8195" width="35.140625" style="28" bestFit="1" customWidth="1"/>
    <col min="8196" max="8196" width="12" style="28" bestFit="1" customWidth="1"/>
    <col min="8197" max="8197" width="10" style="28" bestFit="1" customWidth="1"/>
    <col min="8198" max="8198" width="12" style="28" bestFit="1" customWidth="1"/>
    <col min="8199" max="8449" width="9.140625" style="28"/>
    <col min="8450" max="8450" width="62.5703125" style="28" bestFit="1" customWidth="1"/>
    <col min="8451" max="8451" width="35.140625" style="28" bestFit="1" customWidth="1"/>
    <col min="8452" max="8452" width="12" style="28" bestFit="1" customWidth="1"/>
    <col min="8453" max="8453" width="10" style="28" bestFit="1" customWidth="1"/>
    <col min="8454" max="8454" width="12" style="28" bestFit="1" customWidth="1"/>
    <col min="8455" max="8705" width="9.140625" style="28"/>
    <col min="8706" max="8706" width="62.5703125" style="28" bestFit="1" customWidth="1"/>
    <col min="8707" max="8707" width="35.140625" style="28" bestFit="1" customWidth="1"/>
    <col min="8708" max="8708" width="12" style="28" bestFit="1" customWidth="1"/>
    <col min="8709" max="8709" width="10" style="28" bestFit="1" customWidth="1"/>
    <col min="8710" max="8710" width="12" style="28" bestFit="1" customWidth="1"/>
    <col min="8711" max="8961" width="9.140625" style="28"/>
    <col min="8962" max="8962" width="62.5703125" style="28" bestFit="1" customWidth="1"/>
    <col min="8963" max="8963" width="35.140625" style="28" bestFit="1" customWidth="1"/>
    <col min="8964" max="8964" width="12" style="28" bestFit="1" customWidth="1"/>
    <col min="8965" max="8965" width="10" style="28" bestFit="1" customWidth="1"/>
    <col min="8966" max="8966" width="12" style="28" bestFit="1" customWidth="1"/>
    <col min="8967" max="9217" width="9.140625" style="28"/>
    <col min="9218" max="9218" width="62.5703125" style="28" bestFit="1" customWidth="1"/>
    <col min="9219" max="9219" width="35.140625" style="28" bestFit="1" customWidth="1"/>
    <col min="9220" max="9220" width="12" style="28" bestFit="1" customWidth="1"/>
    <col min="9221" max="9221" width="10" style="28" bestFit="1" customWidth="1"/>
    <col min="9222" max="9222" width="12" style="28" bestFit="1" customWidth="1"/>
    <col min="9223" max="9473" width="9.140625" style="28"/>
    <col min="9474" max="9474" width="62.5703125" style="28" bestFit="1" customWidth="1"/>
    <col min="9475" max="9475" width="35.140625" style="28" bestFit="1" customWidth="1"/>
    <col min="9476" max="9476" width="12" style="28" bestFit="1" customWidth="1"/>
    <col min="9477" max="9477" width="10" style="28" bestFit="1" customWidth="1"/>
    <col min="9478" max="9478" width="12" style="28" bestFit="1" customWidth="1"/>
    <col min="9479" max="9729" width="9.140625" style="28"/>
    <col min="9730" max="9730" width="62.5703125" style="28" bestFit="1" customWidth="1"/>
    <col min="9731" max="9731" width="35.140625" style="28" bestFit="1" customWidth="1"/>
    <col min="9732" max="9732" width="12" style="28" bestFit="1" customWidth="1"/>
    <col min="9733" max="9733" width="10" style="28" bestFit="1" customWidth="1"/>
    <col min="9734" max="9734" width="12" style="28" bestFit="1" customWidth="1"/>
    <col min="9735" max="9985" width="9.140625" style="28"/>
    <col min="9986" max="9986" width="62.5703125" style="28" bestFit="1" customWidth="1"/>
    <col min="9987" max="9987" width="35.140625" style="28" bestFit="1" customWidth="1"/>
    <col min="9988" max="9988" width="12" style="28" bestFit="1" customWidth="1"/>
    <col min="9989" max="9989" width="10" style="28" bestFit="1" customWidth="1"/>
    <col min="9990" max="9990" width="12" style="28" bestFit="1" customWidth="1"/>
    <col min="9991" max="10241" width="9.140625" style="28"/>
    <col min="10242" max="10242" width="62.5703125" style="28" bestFit="1" customWidth="1"/>
    <col min="10243" max="10243" width="35.140625" style="28" bestFit="1" customWidth="1"/>
    <col min="10244" max="10244" width="12" style="28" bestFit="1" customWidth="1"/>
    <col min="10245" max="10245" width="10" style="28" bestFit="1" customWidth="1"/>
    <col min="10246" max="10246" width="12" style="28" bestFit="1" customWidth="1"/>
    <col min="10247" max="10497" width="9.140625" style="28"/>
    <col min="10498" max="10498" width="62.5703125" style="28" bestFit="1" customWidth="1"/>
    <col min="10499" max="10499" width="35.140625" style="28" bestFit="1" customWidth="1"/>
    <col min="10500" max="10500" width="12" style="28" bestFit="1" customWidth="1"/>
    <col min="10501" max="10501" width="10" style="28" bestFit="1" customWidth="1"/>
    <col min="10502" max="10502" width="12" style="28" bestFit="1" customWidth="1"/>
    <col min="10503" max="10753" width="9.140625" style="28"/>
    <col min="10754" max="10754" width="62.5703125" style="28" bestFit="1" customWidth="1"/>
    <col min="10755" max="10755" width="35.140625" style="28" bestFit="1" customWidth="1"/>
    <col min="10756" max="10756" width="12" style="28" bestFit="1" customWidth="1"/>
    <col min="10757" max="10757" width="10" style="28" bestFit="1" customWidth="1"/>
    <col min="10758" max="10758" width="12" style="28" bestFit="1" customWidth="1"/>
    <col min="10759" max="11009" width="9.140625" style="28"/>
    <col min="11010" max="11010" width="62.5703125" style="28" bestFit="1" customWidth="1"/>
    <col min="11011" max="11011" width="35.140625" style="28" bestFit="1" customWidth="1"/>
    <col min="11012" max="11012" width="12" style="28" bestFit="1" customWidth="1"/>
    <col min="11013" max="11013" width="10" style="28" bestFit="1" customWidth="1"/>
    <col min="11014" max="11014" width="12" style="28" bestFit="1" customWidth="1"/>
    <col min="11015" max="11265" width="9.140625" style="28"/>
    <col min="11266" max="11266" width="62.5703125" style="28" bestFit="1" customWidth="1"/>
    <col min="11267" max="11267" width="35.140625" style="28" bestFit="1" customWidth="1"/>
    <col min="11268" max="11268" width="12" style="28" bestFit="1" customWidth="1"/>
    <col min="11269" max="11269" width="10" style="28" bestFit="1" customWidth="1"/>
    <col min="11270" max="11270" width="12" style="28" bestFit="1" customWidth="1"/>
    <col min="11271" max="11521" width="9.140625" style="28"/>
    <col min="11522" max="11522" width="62.5703125" style="28" bestFit="1" customWidth="1"/>
    <col min="11523" max="11523" width="35.140625" style="28" bestFit="1" customWidth="1"/>
    <col min="11524" max="11524" width="12" style="28" bestFit="1" customWidth="1"/>
    <col min="11525" max="11525" width="10" style="28" bestFit="1" customWidth="1"/>
    <col min="11526" max="11526" width="12" style="28" bestFit="1" customWidth="1"/>
    <col min="11527" max="11777" width="9.140625" style="28"/>
    <col min="11778" max="11778" width="62.5703125" style="28" bestFit="1" customWidth="1"/>
    <col min="11779" max="11779" width="35.140625" style="28" bestFit="1" customWidth="1"/>
    <col min="11780" max="11780" width="12" style="28" bestFit="1" customWidth="1"/>
    <col min="11781" max="11781" width="10" style="28" bestFit="1" customWidth="1"/>
    <col min="11782" max="11782" width="12" style="28" bestFit="1" customWidth="1"/>
    <col min="11783" max="12033" width="9.140625" style="28"/>
    <col min="12034" max="12034" width="62.5703125" style="28" bestFit="1" customWidth="1"/>
    <col min="12035" max="12035" width="35.140625" style="28" bestFit="1" customWidth="1"/>
    <col min="12036" max="12036" width="12" style="28" bestFit="1" customWidth="1"/>
    <col min="12037" max="12037" width="10" style="28" bestFit="1" customWidth="1"/>
    <col min="12038" max="12038" width="12" style="28" bestFit="1" customWidth="1"/>
    <col min="12039" max="12289" width="9.140625" style="28"/>
    <col min="12290" max="12290" width="62.5703125" style="28" bestFit="1" customWidth="1"/>
    <col min="12291" max="12291" width="35.140625" style="28" bestFit="1" customWidth="1"/>
    <col min="12292" max="12292" width="12" style="28" bestFit="1" customWidth="1"/>
    <col min="12293" max="12293" width="10" style="28" bestFit="1" customWidth="1"/>
    <col min="12294" max="12294" width="12" style="28" bestFit="1" customWidth="1"/>
    <col min="12295" max="12545" width="9.140625" style="28"/>
    <col min="12546" max="12546" width="62.5703125" style="28" bestFit="1" customWidth="1"/>
    <col min="12547" max="12547" width="35.140625" style="28" bestFit="1" customWidth="1"/>
    <col min="12548" max="12548" width="12" style="28" bestFit="1" customWidth="1"/>
    <col min="12549" max="12549" width="10" style="28" bestFit="1" customWidth="1"/>
    <col min="12550" max="12550" width="12" style="28" bestFit="1" customWidth="1"/>
    <col min="12551" max="12801" width="9.140625" style="28"/>
    <col min="12802" max="12802" width="62.5703125" style="28" bestFit="1" customWidth="1"/>
    <col min="12803" max="12803" width="35.140625" style="28" bestFit="1" customWidth="1"/>
    <col min="12804" max="12804" width="12" style="28" bestFit="1" customWidth="1"/>
    <col min="12805" max="12805" width="10" style="28" bestFit="1" customWidth="1"/>
    <col min="12806" max="12806" width="12" style="28" bestFit="1" customWidth="1"/>
    <col min="12807" max="13057" width="9.140625" style="28"/>
    <col min="13058" max="13058" width="62.5703125" style="28" bestFit="1" customWidth="1"/>
    <col min="13059" max="13059" width="35.140625" style="28" bestFit="1" customWidth="1"/>
    <col min="13060" max="13060" width="12" style="28" bestFit="1" customWidth="1"/>
    <col min="13061" max="13061" width="10" style="28" bestFit="1" customWidth="1"/>
    <col min="13062" max="13062" width="12" style="28" bestFit="1" customWidth="1"/>
    <col min="13063" max="13313" width="9.140625" style="28"/>
    <col min="13314" max="13314" width="62.5703125" style="28" bestFit="1" customWidth="1"/>
    <col min="13315" max="13315" width="35.140625" style="28" bestFit="1" customWidth="1"/>
    <col min="13316" max="13316" width="12" style="28" bestFit="1" customWidth="1"/>
    <col min="13317" max="13317" width="10" style="28" bestFit="1" customWidth="1"/>
    <col min="13318" max="13318" width="12" style="28" bestFit="1" customWidth="1"/>
    <col min="13319" max="13569" width="9.140625" style="28"/>
    <col min="13570" max="13570" width="62.5703125" style="28" bestFit="1" customWidth="1"/>
    <col min="13571" max="13571" width="35.140625" style="28" bestFit="1" customWidth="1"/>
    <col min="13572" max="13572" width="12" style="28" bestFit="1" customWidth="1"/>
    <col min="13573" max="13573" width="10" style="28" bestFit="1" customWidth="1"/>
    <col min="13574" max="13574" width="12" style="28" bestFit="1" customWidth="1"/>
    <col min="13575" max="13825" width="9.140625" style="28"/>
    <col min="13826" max="13826" width="62.5703125" style="28" bestFit="1" customWidth="1"/>
    <col min="13827" max="13827" width="35.140625" style="28" bestFit="1" customWidth="1"/>
    <col min="13828" max="13828" width="12" style="28" bestFit="1" customWidth="1"/>
    <col min="13829" max="13829" width="10" style="28" bestFit="1" customWidth="1"/>
    <col min="13830" max="13830" width="12" style="28" bestFit="1" customWidth="1"/>
    <col min="13831" max="14081" width="9.140625" style="28"/>
    <col min="14082" max="14082" width="62.5703125" style="28" bestFit="1" customWidth="1"/>
    <col min="14083" max="14083" width="35.140625" style="28" bestFit="1" customWidth="1"/>
    <col min="14084" max="14084" width="12" style="28" bestFit="1" customWidth="1"/>
    <col min="14085" max="14085" width="10" style="28" bestFit="1" customWidth="1"/>
    <col min="14086" max="14086" width="12" style="28" bestFit="1" customWidth="1"/>
    <col min="14087" max="14337" width="9.140625" style="28"/>
    <col min="14338" max="14338" width="62.5703125" style="28" bestFit="1" customWidth="1"/>
    <col min="14339" max="14339" width="35.140625" style="28" bestFit="1" customWidth="1"/>
    <col min="14340" max="14340" width="12" style="28" bestFit="1" customWidth="1"/>
    <col min="14341" max="14341" width="10" style="28" bestFit="1" customWidth="1"/>
    <col min="14342" max="14342" width="12" style="28" bestFit="1" customWidth="1"/>
    <col min="14343" max="14593" width="9.140625" style="28"/>
    <col min="14594" max="14594" width="62.5703125" style="28" bestFit="1" customWidth="1"/>
    <col min="14595" max="14595" width="35.140625" style="28" bestFit="1" customWidth="1"/>
    <col min="14596" max="14596" width="12" style="28" bestFit="1" customWidth="1"/>
    <col min="14597" max="14597" width="10" style="28" bestFit="1" customWidth="1"/>
    <col min="14598" max="14598" width="12" style="28" bestFit="1" customWidth="1"/>
    <col min="14599" max="14849" width="9.140625" style="28"/>
    <col min="14850" max="14850" width="62.5703125" style="28" bestFit="1" customWidth="1"/>
    <col min="14851" max="14851" width="35.140625" style="28" bestFit="1" customWidth="1"/>
    <col min="14852" max="14852" width="12" style="28" bestFit="1" customWidth="1"/>
    <col min="14853" max="14853" width="10" style="28" bestFit="1" customWidth="1"/>
    <col min="14854" max="14854" width="12" style="28" bestFit="1" customWidth="1"/>
    <col min="14855" max="15105" width="9.140625" style="28"/>
    <col min="15106" max="15106" width="62.5703125" style="28" bestFit="1" customWidth="1"/>
    <col min="15107" max="15107" width="35.140625" style="28" bestFit="1" customWidth="1"/>
    <col min="15108" max="15108" width="12" style="28" bestFit="1" customWidth="1"/>
    <col min="15109" max="15109" width="10" style="28" bestFit="1" customWidth="1"/>
    <col min="15110" max="15110" width="12" style="28" bestFit="1" customWidth="1"/>
    <col min="15111" max="15361" width="9.140625" style="28"/>
    <col min="15362" max="15362" width="62.5703125" style="28" bestFit="1" customWidth="1"/>
    <col min="15363" max="15363" width="35.140625" style="28" bestFit="1" customWidth="1"/>
    <col min="15364" max="15364" width="12" style="28" bestFit="1" customWidth="1"/>
    <col min="15365" max="15365" width="10" style="28" bestFit="1" customWidth="1"/>
    <col min="15366" max="15366" width="12" style="28" bestFit="1" customWidth="1"/>
    <col min="15367" max="15617" width="9.140625" style="28"/>
    <col min="15618" max="15618" width="62.5703125" style="28" bestFit="1" customWidth="1"/>
    <col min="15619" max="15619" width="35.140625" style="28" bestFit="1" customWidth="1"/>
    <col min="15620" max="15620" width="12" style="28" bestFit="1" customWidth="1"/>
    <col min="15621" max="15621" width="10" style="28" bestFit="1" customWidth="1"/>
    <col min="15622" max="15622" width="12" style="28" bestFit="1" customWidth="1"/>
    <col min="15623" max="15873" width="9.140625" style="28"/>
    <col min="15874" max="15874" width="62.5703125" style="28" bestFit="1" customWidth="1"/>
    <col min="15875" max="15875" width="35.140625" style="28" bestFit="1" customWidth="1"/>
    <col min="15876" max="15876" width="12" style="28" bestFit="1" customWidth="1"/>
    <col min="15877" max="15877" width="10" style="28" bestFit="1" customWidth="1"/>
    <col min="15878" max="15878" width="12" style="28" bestFit="1" customWidth="1"/>
    <col min="15879" max="16129" width="9.140625" style="28"/>
    <col min="16130" max="16130" width="62.5703125" style="28" bestFit="1" customWidth="1"/>
    <col min="16131" max="16131" width="35.140625" style="28" bestFit="1" customWidth="1"/>
    <col min="16132" max="16132" width="12" style="28" bestFit="1" customWidth="1"/>
    <col min="16133" max="16133" width="10" style="28" bestFit="1" customWidth="1"/>
    <col min="16134" max="16134" width="12" style="28" bestFit="1" customWidth="1"/>
    <col min="16135" max="16384" width="9.140625" style="28"/>
  </cols>
  <sheetData>
    <row r="1" spans="1:7" x14ac:dyDescent="0.2">
      <c r="B1" s="29" t="s">
        <v>196</v>
      </c>
      <c r="C1" s="29" t="s">
        <v>197</v>
      </c>
      <c r="D1" s="29" t="s">
        <v>198</v>
      </c>
      <c r="E1" s="29" t="s">
        <v>199</v>
      </c>
      <c r="F1" s="29" t="s">
        <v>200</v>
      </c>
    </row>
    <row r="2" spans="1:7" x14ac:dyDescent="0.2">
      <c r="A2" s="28">
        <v>1</v>
      </c>
      <c r="B2" s="30" t="s">
        <v>201</v>
      </c>
      <c r="C2" s="30" t="s">
        <v>202</v>
      </c>
      <c r="D2" s="30" t="s">
        <v>203</v>
      </c>
      <c r="E2" s="30" t="s">
        <v>204</v>
      </c>
      <c r="F2" s="31" t="s">
        <v>205</v>
      </c>
    </row>
    <row r="3" spans="1:7" x14ac:dyDescent="0.2">
      <c r="A3" s="28">
        <v>2</v>
      </c>
      <c r="B3" s="30" t="s">
        <v>206</v>
      </c>
      <c r="C3" s="30" t="s">
        <v>207</v>
      </c>
      <c r="D3" s="30" t="s">
        <v>208</v>
      </c>
      <c r="E3" s="30" t="s">
        <v>204</v>
      </c>
      <c r="F3" s="31" t="s">
        <v>209</v>
      </c>
    </row>
    <row r="4" spans="1:7" x14ac:dyDescent="0.2">
      <c r="A4" s="28">
        <v>3</v>
      </c>
      <c r="B4" s="30" t="s">
        <v>210</v>
      </c>
      <c r="C4" s="30" t="s">
        <v>211</v>
      </c>
      <c r="D4" s="30" t="s">
        <v>212</v>
      </c>
      <c r="E4" s="30" t="s">
        <v>204</v>
      </c>
      <c r="F4" s="31" t="s">
        <v>213</v>
      </c>
    </row>
    <row r="5" spans="1:7" x14ac:dyDescent="0.2">
      <c r="A5" s="28">
        <v>4</v>
      </c>
      <c r="B5" s="30" t="s">
        <v>214</v>
      </c>
      <c r="C5" s="30" t="s">
        <v>215</v>
      </c>
      <c r="D5" s="30" t="s">
        <v>208</v>
      </c>
      <c r="E5" s="30" t="s">
        <v>204</v>
      </c>
      <c r="F5" s="31" t="s">
        <v>216</v>
      </c>
    </row>
    <row r="6" spans="1:7" x14ac:dyDescent="0.2">
      <c r="A6" s="28">
        <v>5</v>
      </c>
      <c r="B6" s="30" t="s">
        <v>217</v>
      </c>
      <c r="C6" s="30" t="s">
        <v>202</v>
      </c>
      <c r="D6" s="30" t="s">
        <v>203</v>
      </c>
      <c r="E6" s="30" t="s">
        <v>204</v>
      </c>
      <c r="F6" s="31" t="s">
        <v>218</v>
      </c>
    </row>
    <row r="7" spans="1:7" x14ac:dyDescent="0.2">
      <c r="A7" s="28">
        <v>6</v>
      </c>
      <c r="B7" s="30" t="s">
        <v>219</v>
      </c>
      <c r="C7" s="30" t="s">
        <v>220</v>
      </c>
      <c r="D7" s="30" t="s">
        <v>203</v>
      </c>
      <c r="E7" s="30" t="s">
        <v>204</v>
      </c>
      <c r="F7" s="31" t="s">
        <v>221</v>
      </c>
    </row>
    <row r="8" spans="1:7" x14ac:dyDescent="0.2">
      <c r="A8" s="28">
        <v>7</v>
      </c>
      <c r="B8" s="30" t="s">
        <v>222</v>
      </c>
      <c r="C8" s="30" t="s">
        <v>207</v>
      </c>
      <c r="D8" s="30" t="s">
        <v>203</v>
      </c>
      <c r="E8" s="30" t="s">
        <v>204</v>
      </c>
      <c r="F8" s="30" t="s">
        <v>223</v>
      </c>
    </row>
    <row r="9" spans="1:7" x14ac:dyDescent="0.2">
      <c r="A9" s="28">
        <v>8</v>
      </c>
      <c r="B9" s="30" t="s">
        <v>224</v>
      </c>
      <c r="C9" s="30" t="s">
        <v>225</v>
      </c>
      <c r="D9" s="30" t="s">
        <v>208</v>
      </c>
      <c r="E9" s="30" t="s">
        <v>204</v>
      </c>
      <c r="F9" s="31" t="s">
        <v>226</v>
      </c>
    </row>
    <row r="10" spans="1:7" x14ac:dyDescent="0.2">
      <c r="A10" s="28">
        <v>9</v>
      </c>
      <c r="B10" s="30" t="s">
        <v>227</v>
      </c>
      <c r="C10" s="30" t="s">
        <v>228</v>
      </c>
      <c r="D10" s="30" t="s">
        <v>208</v>
      </c>
      <c r="E10" s="30" t="s">
        <v>204</v>
      </c>
      <c r="F10" s="31" t="s">
        <v>229</v>
      </c>
    </row>
    <row r="11" spans="1:7" x14ac:dyDescent="0.2">
      <c r="A11" s="28">
        <v>10</v>
      </c>
      <c r="B11" s="30" t="s">
        <v>230</v>
      </c>
      <c r="C11" s="30" t="s">
        <v>202</v>
      </c>
      <c r="D11" s="30" t="s">
        <v>208</v>
      </c>
      <c r="E11" s="30" t="s">
        <v>204</v>
      </c>
      <c r="F11" s="31" t="s">
        <v>231</v>
      </c>
    </row>
    <row r="12" spans="1:7" x14ac:dyDescent="0.2">
      <c r="A12" s="28">
        <v>11</v>
      </c>
      <c r="B12" s="30" t="s">
        <v>232</v>
      </c>
      <c r="C12" s="30" t="s">
        <v>202</v>
      </c>
      <c r="D12" s="30" t="s">
        <v>233</v>
      </c>
      <c r="E12" s="30" t="s">
        <v>204</v>
      </c>
      <c r="F12" s="30" t="s">
        <v>234</v>
      </c>
    </row>
    <row r="13" spans="1:7" x14ac:dyDescent="0.2">
      <c r="A13" s="28">
        <v>12</v>
      </c>
      <c r="B13" s="30" t="s">
        <v>230</v>
      </c>
      <c r="C13" s="30" t="s">
        <v>235</v>
      </c>
      <c r="D13" s="30" t="s">
        <v>236</v>
      </c>
      <c r="E13" s="30" t="s">
        <v>204</v>
      </c>
      <c r="F13" s="30" t="s">
        <v>237</v>
      </c>
    </row>
    <row r="14" spans="1:7" x14ac:dyDescent="0.2">
      <c r="A14" s="28">
        <v>13</v>
      </c>
      <c r="B14" s="30" t="s">
        <v>238</v>
      </c>
      <c r="C14" s="30" t="s">
        <v>239</v>
      </c>
      <c r="D14" s="30" t="s">
        <v>240</v>
      </c>
      <c r="E14" s="30" t="s">
        <v>204</v>
      </c>
      <c r="F14" s="30" t="s">
        <v>241</v>
      </c>
    </row>
    <row r="15" spans="1:7" x14ac:dyDescent="0.2">
      <c r="A15" s="28">
        <v>14</v>
      </c>
      <c r="B15" s="30" t="s">
        <v>242</v>
      </c>
      <c r="C15" s="30" t="s">
        <v>215</v>
      </c>
      <c r="D15" s="30" t="s">
        <v>243</v>
      </c>
      <c r="E15" s="30" t="s">
        <v>204</v>
      </c>
      <c r="F15" s="30" t="s">
        <v>244</v>
      </c>
      <c r="G15" s="32"/>
    </row>
    <row r="16" spans="1:7" ht="18.75" x14ac:dyDescent="0.3">
      <c r="B16" s="33" t="s">
        <v>85</v>
      </c>
    </row>
  </sheetData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1"/>
  <sheetViews>
    <sheetView tabSelected="1" topLeftCell="C1" zoomScaleNormal="100" zoomScaleSheetLayoutView="100" workbookViewId="0">
      <pane ySplit="1" topLeftCell="A9" activePane="bottomLeft" state="frozen"/>
      <selection pane="bottomLeft" activeCell="H64" sqref="H64"/>
    </sheetView>
  </sheetViews>
  <sheetFormatPr defaultColWidth="12.5703125" defaultRowHeight="15.75" customHeight="1" x14ac:dyDescent="0.2"/>
  <cols>
    <col min="1" max="1" width="18.85546875" hidden="1" customWidth="1"/>
    <col min="2" max="2" width="25.85546875" hidden="1" customWidth="1"/>
    <col min="3" max="3" width="7.7109375" customWidth="1"/>
    <col min="4" max="4" width="56.28515625" customWidth="1"/>
    <col min="5" max="5" width="13.42578125" style="4" customWidth="1"/>
    <col min="6" max="6" width="10.42578125" customWidth="1"/>
    <col min="7" max="7" width="8" customWidth="1"/>
    <col min="8" max="8" width="106.42578125" customWidth="1"/>
    <col min="9" max="9" width="37.42578125" hidden="1" customWidth="1"/>
    <col min="10" max="10" width="4.5703125" hidden="1" customWidth="1"/>
    <col min="11" max="11" width="20.7109375" customWidth="1"/>
    <col min="12" max="12" width="24.7109375" customWidth="1"/>
    <col min="13" max="18" width="18.85546875" customWidth="1"/>
  </cols>
  <sheetData>
    <row r="1" spans="1:14" ht="96.75" customHeight="1" x14ac:dyDescent="0.2">
      <c r="A1" s="5" t="s">
        <v>0</v>
      </c>
      <c r="B1" s="7" t="s">
        <v>1</v>
      </c>
      <c r="C1" s="11" t="s">
        <v>191</v>
      </c>
      <c r="D1" s="11" t="s">
        <v>2</v>
      </c>
      <c r="E1" s="12" t="s">
        <v>3</v>
      </c>
      <c r="F1" s="12" t="s">
        <v>4</v>
      </c>
      <c r="G1" s="42" t="s">
        <v>247</v>
      </c>
      <c r="H1" s="22" t="s">
        <v>5</v>
      </c>
      <c r="I1" s="23" t="s">
        <v>6</v>
      </c>
      <c r="J1" s="24" t="s">
        <v>7</v>
      </c>
      <c r="K1" s="24" t="s">
        <v>8</v>
      </c>
      <c r="L1" s="24" t="s">
        <v>9</v>
      </c>
      <c r="M1" s="25" t="s">
        <v>10</v>
      </c>
      <c r="N1" s="6"/>
    </row>
    <row r="2" spans="1:14" ht="12.75" x14ac:dyDescent="0.2">
      <c r="A2" s="1">
        <v>45916.522945520832</v>
      </c>
      <c r="B2" s="8" t="s">
        <v>16</v>
      </c>
      <c r="C2" s="13">
        <v>1</v>
      </c>
      <c r="D2" s="14" t="s">
        <v>37</v>
      </c>
      <c r="E2" s="13">
        <v>0</v>
      </c>
      <c r="F2" s="13"/>
      <c r="G2" s="13">
        <v>61</v>
      </c>
      <c r="H2" s="14" t="s">
        <v>192</v>
      </c>
      <c r="I2" s="26"/>
      <c r="J2" s="26"/>
      <c r="K2" s="14" t="s">
        <v>40</v>
      </c>
      <c r="L2" s="14" t="s">
        <v>20</v>
      </c>
      <c r="M2" s="14"/>
    </row>
    <row r="3" spans="1:14" ht="12.75" x14ac:dyDescent="0.2">
      <c r="A3" s="2">
        <v>45916.524222442131</v>
      </c>
      <c r="B3" s="9" t="s">
        <v>16</v>
      </c>
      <c r="C3" s="13">
        <v>2</v>
      </c>
      <c r="D3" s="14" t="s">
        <v>41</v>
      </c>
      <c r="E3" s="13">
        <v>0</v>
      </c>
      <c r="F3" s="13"/>
      <c r="G3" s="13">
        <v>22</v>
      </c>
      <c r="H3" s="14" t="s">
        <v>192</v>
      </c>
      <c r="I3" s="26"/>
      <c r="J3" s="26"/>
      <c r="K3" s="14" t="s">
        <v>42</v>
      </c>
      <c r="L3" s="14" t="s">
        <v>20</v>
      </c>
      <c r="M3" s="14"/>
    </row>
    <row r="4" spans="1:14" ht="12.75" x14ac:dyDescent="0.2">
      <c r="A4" s="1">
        <v>45918.388555937505</v>
      </c>
      <c r="B4" s="8" t="s">
        <v>11</v>
      </c>
      <c r="C4" s="13">
        <v>3</v>
      </c>
      <c r="D4" s="14" t="s">
        <v>63</v>
      </c>
      <c r="E4" s="13">
        <v>0</v>
      </c>
      <c r="F4" s="15"/>
      <c r="G4" s="13">
        <v>97</v>
      </c>
      <c r="H4" s="14" t="s">
        <v>39</v>
      </c>
      <c r="I4" s="26"/>
      <c r="J4" s="26"/>
      <c r="K4" s="14" t="s">
        <v>64</v>
      </c>
      <c r="L4" s="14" t="s">
        <v>59</v>
      </c>
      <c r="M4" s="14"/>
    </row>
    <row r="5" spans="1:14" ht="12.75" x14ac:dyDescent="0.2">
      <c r="A5" s="2">
        <v>45918.400278622685</v>
      </c>
      <c r="B5" s="9" t="s">
        <v>11</v>
      </c>
      <c r="C5" s="13">
        <v>4</v>
      </c>
      <c r="D5" s="14" t="s">
        <v>73</v>
      </c>
      <c r="E5" s="13">
        <v>0</v>
      </c>
      <c r="F5" s="15"/>
      <c r="G5" s="13">
        <v>23</v>
      </c>
      <c r="H5" s="14" t="s">
        <v>74</v>
      </c>
      <c r="I5" s="26"/>
      <c r="J5" s="26"/>
      <c r="K5" s="14" t="s">
        <v>32</v>
      </c>
      <c r="L5" s="14" t="s">
        <v>15</v>
      </c>
      <c r="M5" s="14"/>
    </row>
    <row r="6" spans="1:14" ht="12.75" x14ac:dyDescent="0.2">
      <c r="A6" s="1">
        <v>45918.439167245371</v>
      </c>
      <c r="B6" s="8" t="s">
        <v>46</v>
      </c>
      <c r="C6" s="13">
        <v>5</v>
      </c>
      <c r="D6" s="14" t="s">
        <v>92</v>
      </c>
      <c r="E6" s="13">
        <v>0</v>
      </c>
      <c r="F6" s="15"/>
      <c r="G6" s="13">
        <v>40</v>
      </c>
      <c r="H6" s="16" t="s">
        <v>189</v>
      </c>
      <c r="I6" s="26"/>
      <c r="J6" s="14" t="s">
        <v>39</v>
      </c>
      <c r="K6" s="14" t="s">
        <v>93</v>
      </c>
      <c r="L6" s="14" t="s">
        <v>94</v>
      </c>
      <c r="M6" s="14"/>
    </row>
    <row r="7" spans="1:14" ht="12.75" x14ac:dyDescent="0.2">
      <c r="A7" s="1">
        <v>45918.531521215278</v>
      </c>
      <c r="B7" s="8" t="s">
        <v>11</v>
      </c>
      <c r="C7" s="13">
        <v>6</v>
      </c>
      <c r="D7" s="14" t="s">
        <v>105</v>
      </c>
      <c r="E7" s="13">
        <v>0</v>
      </c>
      <c r="F7" s="15"/>
      <c r="G7" s="13">
        <v>40</v>
      </c>
      <c r="H7" s="16" t="s">
        <v>106</v>
      </c>
      <c r="I7" s="26"/>
      <c r="J7" s="26"/>
      <c r="K7" s="14" t="s">
        <v>107</v>
      </c>
      <c r="L7" s="14" t="s">
        <v>108</v>
      </c>
      <c r="M7" s="26"/>
    </row>
    <row r="8" spans="1:14" ht="12.75" x14ac:dyDescent="0.2">
      <c r="A8" s="2">
        <v>45918.624354016203</v>
      </c>
      <c r="B8" s="9" t="s">
        <v>16</v>
      </c>
      <c r="C8" s="13">
        <v>7</v>
      </c>
      <c r="D8" s="14" t="s">
        <v>116</v>
      </c>
      <c r="E8" s="13">
        <v>0</v>
      </c>
      <c r="F8" s="15"/>
      <c r="G8" s="13">
        <v>45</v>
      </c>
      <c r="H8" s="16" t="s">
        <v>117</v>
      </c>
      <c r="I8" s="26"/>
      <c r="J8" s="14" t="s">
        <v>117</v>
      </c>
      <c r="K8" s="14" t="s">
        <v>118</v>
      </c>
      <c r="L8" s="14" t="s">
        <v>108</v>
      </c>
      <c r="M8" s="26"/>
    </row>
    <row r="9" spans="1:14" ht="12.75" x14ac:dyDescent="0.2">
      <c r="A9" s="1">
        <v>45918.625523182869</v>
      </c>
      <c r="B9" s="8" t="s">
        <v>11</v>
      </c>
      <c r="C9" s="13">
        <v>8</v>
      </c>
      <c r="D9" s="14" t="s">
        <v>119</v>
      </c>
      <c r="E9" s="13">
        <v>0</v>
      </c>
      <c r="F9" s="15"/>
      <c r="G9" s="13">
        <v>49</v>
      </c>
      <c r="H9" s="16" t="s">
        <v>117</v>
      </c>
      <c r="I9" s="26"/>
      <c r="J9" s="14" t="s">
        <v>117</v>
      </c>
      <c r="K9" s="14" t="s">
        <v>118</v>
      </c>
      <c r="L9" s="14" t="s">
        <v>108</v>
      </c>
      <c r="M9" s="26"/>
    </row>
    <row r="10" spans="1:14" ht="12.75" x14ac:dyDescent="0.2">
      <c r="A10" s="2">
        <v>45918.762798310185</v>
      </c>
      <c r="B10" s="9" t="s">
        <v>16</v>
      </c>
      <c r="C10" s="13">
        <v>9</v>
      </c>
      <c r="D10" s="34" t="s">
        <v>124</v>
      </c>
      <c r="E10" s="13">
        <v>0</v>
      </c>
      <c r="F10" s="15"/>
      <c r="G10" s="13">
        <v>162</v>
      </c>
      <c r="H10" s="16" t="s">
        <v>39</v>
      </c>
      <c r="I10" s="26"/>
      <c r="J10" s="26"/>
      <c r="K10" s="14" t="s">
        <v>125</v>
      </c>
      <c r="L10" s="14" t="s">
        <v>126</v>
      </c>
      <c r="M10" s="26"/>
    </row>
    <row r="11" spans="1:14" ht="12.75" x14ac:dyDescent="0.2">
      <c r="A11" s="1">
        <v>45918.851156886572</v>
      </c>
      <c r="B11" s="8" t="s">
        <v>16</v>
      </c>
      <c r="C11" s="13">
        <v>10</v>
      </c>
      <c r="D11" s="14" t="s">
        <v>141</v>
      </c>
      <c r="E11" s="13">
        <v>0</v>
      </c>
      <c r="F11" s="15"/>
      <c r="G11" s="13">
        <v>49</v>
      </c>
      <c r="H11" s="16" t="s">
        <v>142</v>
      </c>
      <c r="I11" s="26"/>
      <c r="J11" s="26"/>
      <c r="K11" s="14" t="s">
        <v>64</v>
      </c>
      <c r="L11" s="14" t="s">
        <v>59</v>
      </c>
      <c r="M11" s="26"/>
    </row>
    <row r="12" spans="1:14" ht="12.75" x14ac:dyDescent="0.2">
      <c r="A12" s="2">
        <v>45918.911722847217</v>
      </c>
      <c r="B12" s="9" t="s">
        <v>11</v>
      </c>
      <c r="C12" s="13">
        <v>11</v>
      </c>
      <c r="D12" s="14" t="s">
        <v>146</v>
      </c>
      <c r="E12" s="13">
        <v>0</v>
      </c>
      <c r="F12" s="15"/>
      <c r="G12" s="13">
        <v>704</v>
      </c>
      <c r="H12" s="16" t="s">
        <v>147</v>
      </c>
      <c r="I12" s="26"/>
      <c r="J12" s="26"/>
      <c r="K12" s="14" t="s">
        <v>148</v>
      </c>
      <c r="L12" s="14" t="s">
        <v>15</v>
      </c>
      <c r="M12" s="26"/>
    </row>
    <row r="13" spans="1:14" ht="12.75" x14ac:dyDescent="0.2">
      <c r="A13" s="1">
        <v>45918.915032974532</v>
      </c>
      <c r="B13" s="8" t="s">
        <v>11</v>
      </c>
      <c r="C13" s="13">
        <v>12</v>
      </c>
      <c r="D13" s="14" t="s">
        <v>149</v>
      </c>
      <c r="E13" s="13">
        <v>0</v>
      </c>
      <c r="F13" s="15"/>
      <c r="G13" s="15">
        <v>42</v>
      </c>
      <c r="H13" s="16" t="s">
        <v>39</v>
      </c>
      <c r="I13" s="26"/>
      <c r="J13" s="26"/>
      <c r="K13" s="14" t="s">
        <v>150</v>
      </c>
      <c r="L13" s="14" t="s">
        <v>20</v>
      </c>
      <c r="M13" s="26"/>
    </row>
    <row r="14" spans="1:14" ht="12.75" x14ac:dyDescent="0.2">
      <c r="A14" s="2">
        <v>45918.915865578703</v>
      </c>
      <c r="B14" s="9" t="s">
        <v>16</v>
      </c>
      <c r="C14" s="13">
        <v>13</v>
      </c>
      <c r="D14" s="14" t="s">
        <v>151</v>
      </c>
      <c r="E14" s="13">
        <v>0</v>
      </c>
      <c r="F14" s="15"/>
      <c r="G14" s="15">
        <v>39</v>
      </c>
      <c r="H14" s="16" t="s">
        <v>39</v>
      </c>
      <c r="I14" s="26"/>
      <c r="J14" s="26"/>
      <c r="K14" s="14" t="s">
        <v>150</v>
      </c>
      <c r="L14" s="14" t="s">
        <v>20</v>
      </c>
      <c r="M14" s="26"/>
    </row>
    <row r="15" spans="1:14" ht="12.75" x14ac:dyDescent="0.2">
      <c r="A15" s="1">
        <v>45919.313270312501</v>
      </c>
      <c r="B15" s="8" t="s">
        <v>46</v>
      </c>
      <c r="C15" s="13">
        <v>14</v>
      </c>
      <c r="D15" s="17" t="s">
        <v>160</v>
      </c>
      <c r="E15" s="13">
        <v>0</v>
      </c>
      <c r="F15" s="15"/>
      <c r="G15" s="15">
        <v>46</v>
      </c>
      <c r="H15" s="14" t="s">
        <v>38</v>
      </c>
      <c r="I15" s="26"/>
      <c r="J15" s="14" t="s">
        <v>39</v>
      </c>
      <c r="K15" s="14" t="s">
        <v>161</v>
      </c>
      <c r="L15" s="14" t="s">
        <v>162</v>
      </c>
      <c r="M15" s="26"/>
    </row>
    <row r="16" spans="1:14" ht="12.75" x14ac:dyDescent="0.2">
      <c r="A16" s="2">
        <v>45919.445797465276</v>
      </c>
      <c r="B16" s="9" t="s">
        <v>11</v>
      </c>
      <c r="C16" s="13">
        <v>15</v>
      </c>
      <c r="D16" s="14" t="s">
        <v>178</v>
      </c>
      <c r="E16" s="13">
        <v>0</v>
      </c>
      <c r="F16" s="15"/>
      <c r="G16" s="15">
        <v>149</v>
      </c>
      <c r="H16" s="14" t="s">
        <v>179</v>
      </c>
      <c r="I16" s="26"/>
      <c r="J16" s="14" t="s">
        <v>180</v>
      </c>
      <c r="K16" s="14" t="s">
        <v>181</v>
      </c>
      <c r="L16" s="14" t="s">
        <v>108</v>
      </c>
      <c r="M16" s="26"/>
    </row>
    <row r="17" spans="1:13" ht="12.75" x14ac:dyDescent="0.2">
      <c r="A17" s="1">
        <v>45916.417652349541</v>
      </c>
      <c r="B17" s="8" t="s">
        <v>16</v>
      </c>
      <c r="C17" s="13">
        <v>16</v>
      </c>
      <c r="D17" s="14" t="s">
        <v>17</v>
      </c>
      <c r="E17" s="13">
        <v>1</v>
      </c>
      <c r="F17" s="13">
        <v>12</v>
      </c>
      <c r="G17" s="13">
        <v>10</v>
      </c>
      <c r="H17" s="14" t="s">
        <v>18</v>
      </c>
      <c r="I17" s="14"/>
      <c r="J17" s="14"/>
      <c r="K17" s="14" t="s">
        <v>19</v>
      </c>
      <c r="L17" s="14" t="s">
        <v>20</v>
      </c>
      <c r="M17" s="14"/>
    </row>
    <row r="18" spans="1:13" ht="12.75" x14ac:dyDescent="0.2">
      <c r="A18" s="2">
        <v>45916.419162696759</v>
      </c>
      <c r="B18" s="9" t="s">
        <v>11</v>
      </c>
      <c r="C18" s="13">
        <v>17</v>
      </c>
      <c r="D18" s="14" t="s">
        <v>21</v>
      </c>
      <c r="E18" s="13">
        <v>1</v>
      </c>
      <c r="F18" s="13">
        <v>12</v>
      </c>
      <c r="G18" s="13">
        <v>101</v>
      </c>
      <c r="H18" s="14" t="s">
        <v>22</v>
      </c>
      <c r="I18" s="14"/>
      <c r="J18" s="14"/>
      <c r="K18" s="14" t="s">
        <v>23</v>
      </c>
      <c r="L18" s="14" t="s">
        <v>24</v>
      </c>
      <c r="M18" s="14"/>
    </row>
    <row r="19" spans="1:13" ht="12.75" x14ac:dyDescent="0.2">
      <c r="A19" s="1">
        <v>45916.486801076389</v>
      </c>
      <c r="B19" s="8" t="s">
        <v>16</v>
      </c>
      <c r="C19" s="13">
        <v>18</v>
      </c>
      <c r="D19" s="35" t="s">
        <v>259</v>
      </c>
      <c r="E19" s="13">
        <v>1</v>
      </c>
      <c r="F19" s="13">
        <v>20</v>
      </c>
      <c r="G19" s="13">
        <v>223</v>
      </c>
      <c r="H19" s="14" t="s">
        <v>35</v>
      </c>
      <c r="I19" s="14"/>
      <c r="J19" s="14"/>
      <c r="K19" s="14" t="s">
        <v>36</v>
      </c>
      <c r="L19" s="14" t="s">
        <v>15</v>
      </c>
      <c r="M19" s="14"/>
    </row>
    <row r="20" spans="1:13" ht="12.75" x14ac:dyDescent="0.2">
      <c r="A20" s="2">
        <v>45917.590995462961</v>
      </c>
      <c r="B20" s="9" t="s">
        <v>16</v>
      </c>
      <c r="C20" s="13">
        <v>19</v>
      </c>
      <c r="D20" s="14" t="s">
        <v>43</v>
      </c>
      <c r="E20" s="13">
        <v>1</v>
      </c>
      <c r="F20" s="13">
        <v>14</v>
      </c>
      <c r="G20" s="13">
        <v>29</v>
      </c>
      <c r="H20" s="14" t="s">
        <v>44</v>
      </c>
      <c r="I20" s="26"/>
      <c r="J20" s="26"/>
      <c r="K20" s="14" t="s">
        <v>45</v>
      </c>
      <c r="L20" s="14" t="s">
        <v>30</v>
      </c>
      <c r="M20" s="14"/>
    </row>
    <row r="21" spans="1:13" ht="12.75" x14ac:dyDescent="0.2">
      <c r="A21" s="1">
        <v>45918.387331261576</v>
      </c>
      <c r="B21" s="8" t="s">
        <v>46</v>
      </c>
      <c r="C21" s="13">
        <v>20</v>
      </c>
      <c r="D21" s="17" t="s">
        <v>60</v>
      </c>
      <c r="E21" s="13">
        <v>1</v>
      </c>
      <c r="F21" s="13">
        <v>12</v>
      </c>
      <c r="G21" s="13">
        <v>370</v>
      </c>
      <c r="H21" s="16" t="s">
        <v>61</v>
      </c>
      <c r="I21" s="14" t="s">
        <v>38</v>
      </c>
      <c r="J21" s="26"/>
      <c r="K21" s="14" t="s">
        <v>62</v>
      </c>
      <c r="L21" s="14" t="s">
        <v>20</v>
      </c>
      <c r="M21" s="14"/>
    </row>
    <row r="22" spans="1:13" ht="12.75" x14ac:dyDescent="0.2">
      <c r="A22" s="2">
        <v>45918.444817199073</v>
      </c>
      <c r="B22" s="9" t="s">
        <v>46</v>
      </c>
      <c r="C22" s="13">
        <v>21</v>
      </c>
      <c r="D22" s="14" t="s">
        <v>95</v>
      </c>
      <c r="E22" s="13">
        <v>1</v>
      </c>
      <c r="F22" s="13">
        <v>15</v>
      </c>
      <c r="G22" s="13">
        <v>343</v>
      </c>
      <c r="H22" s="14" t="s">
        <v>96</v>
      </c>
      <c r="I22" s="26"/>
      <c r="J22" s="26"/>
      <c r="K22" s="14" t="s">
        <v>97</v>
      </c>
      <c r="L22" s="14" t="s">
        <v>98</v>
      </c>
      <c r="M22" s="14"/>
    </row>
    <row r="23" spans="1:13" ht="12.75" x14ac:dyDescent="0.2">
      <c r="A23" s="1">
        <v>45918.47612608796</v>
      </c>
      <c r="B23" s="8" t="s">
        <v>11</v>
      </c>
      <c r="C23" s="13">
        <v>22</v>
      </c>
      <c r="D23" s="14" t="s">
        <v>102</v>
      </c>
      <c r="E23" s="13">
        <v>0</v>
      </c>
      <c r="F23" s="13">
        <v>0</v>
      </c>
      <c r="G23" s="13">
        <v>39</v>
      </c>
      <c r="H23" s="14" t="s">
        <v>250</v>
      </c>
      <c r="I23" s="26"/>
      <c r="J23" s="26"/>
      <c r="K23" s="14" t="s">
        <v>103</v>
      </c>
      <c r="L23" s="14" t="s">
        <v>104</v>
      </c>
      <c r="M23" s="26"/>
    </row>
    <row r="24" spans="1:13" ht="12.75" x14ac:dyDescent="0.2">
      <c r="A24" s="2">
        <v>45918.60774994213</v>
      </c>
      <c r="B24" s="9" t="s">
        <v>46</v>
      </c>
      <c r="C24" s="13">
        <v>23</v>
      </c>
      <c r="D24" s="17" t="s">
        <v>112</v>
      </c>
      <c r="E24" s="13">
        <v>1</v>
      </c>
      <c r="F24" s="13">
        <v>18</v>
      </c>
      <c r="G24" s="13">
        <v>512</v>
      </c>
      <c r="H24" s="16" t="s">
        <v>249</v>
      </c>
      <c r="I24" s="14" t="s">
        <v>38</v>
      </c>
      <c r="J24" s="26"/>
      <c r="K24" s="14" t="s">
        <v>113</v>
      </c>
      <c r="L24" s="14" t="s">
        <v>20</v>
      </c>
      <c r="M24" s="14" t="s">
        <v>114</v>
      </c>
    </row>
    <row r="25" spans="1:13" ht="12.75" x14ac:dyDescent="0.2">
      <c r="A25" s="1">
        <v>45918.842952581021</v>
      </c>
      <c r="B25" s="8" t="s">
        <v>16</v>
      </c>
      <c r="C25" s="13">
        <v>24</v>
      </c>
      <c r="D25" s="14" t="s">
        <v>132</v>
      </c>
      <c r="E25" s="13">
        <v>1</v>
      </c>
      <c r="F25" s="13">
        <v>15</v>
      </c>
      <c r="G25" s="13">
        <v>100</v>
      </c>
      <c r="H25" s="14" t="s">
        <v>133</v>
      </c>
      <c r="I25" s="26"/>
      <c r="J25" s="26"/>
      <c r="K25" s="14" t="s">
        <v>134</v>
      </c>
      <c r="L25" s="14" t="s">
        <v>135</v>
      </c>
      <c r="M25" s="26"/>
    </row>
    <row r="26" spans="1:13" ht="12.75" x14ac:dyDescent="0.2">
      <c r="A26" s="2">
        <v>45918.846472743055</v>
      </c>
      <c r="B26" s="9" t="s">
        <v>46</v>
      </c>
      <c r="C26" s="13">
        <v>25</v>
      </c>
      <c r="D26" s="17" t="s">
        <v>139</v>
      </c>
      <c r="E26" s="13">
        <v>1</v>
      </c>
      <c r="F26" s="13">
        <v>15</v>
      </c>
      <c r="G26" s="13">
        <v>534</v>
      </c>
      <c r="H26" s="16" t="s">
        <v>193</v>
      </c>
      <c r="I26" s="26"/>
      <c r="J26" s="26"/>
      <c r="K26" s="14" t="s">
        <v>140</v>
      </c>
      <c r="L26" s="14" t="s">
        <v>20</v>
      </c>
      <c r="M26" s="26"/>
    </row>
    <row r="27" spans="1:13" ht="12.75" x14ac:dyDescent="0.2">
      <c r="A27" s="1">
        <v>45918.934425729167</v>
      </c>
      <c r="B27" s="8" t="s">
        <v>11</v>
      </c>
      <c r="C27" s="13">
        <v>26</v>
      </c>
      <c r="D27" s="14" t="s">
        <v>156</v>
      </c>
      <c r="E27" s="13">
        <v>1</v>
      </c>
      <c r="F27" s="13">
        <v>30</v>
      </c>
      <c r="G27" s="13">
        <v>167</v>
      </c>
      <c r="H27" s="14" t="s">
        <v>157</v>
      </c>
      <c r="I27" s="26"/>
      <c r="J27" s="26"/>
      <c r="K27" s="14" t="s">
        <v>158</v>
      </c>
      <c r="L27" s="14" t="s">
        <v>145</v>
      </c>
      <c r="M27" s="26"/>
    </row>
    <row r="28" spans="1:13" ht="12.75" x14ac:dyDescent="0.2">
      <c r="A28" s="2">
        <v>45919.400420798615</v>
      </c>
      <c r="B28" s="9" t="s">
        <v>16</v>
      </c>
      <c r="C28" s="13">
        <v>27</v>
      </c>
      <c r="D28" s="14" t="s">
        <v>163</v>
      </c>
      <c r="E28" s="13">
        <v>1</v>
      </c>
      <c r="F28" s="13">
        <v>22</v>
      </c>
      <c r="G28" s="13">
        <v>174</v>
      </c>
      <c r="H28" s="14" t="s">
        <v>164</v>
      </c>
      <c r="I28" s="26"/>
      <c r="J28" s="26"/>
      <c r="K28" s="14" t="s">
        <v>165</v>
      </c>
      <c r="L28" s="14" t="s">
        <v>162</v>
      </c>
      <c r="M28" s="26"/>
    </row>
    <row r="29" spans="1:13" ht="12.75" x14ac:dyDescent="0.2">
      <c r="A29" s="1">
        <v>45919.404417083337</v>
      </c>
      <c r="B29" s="8" t="s">
        <v>16</v>
      </c>
      <c r="C29" s="13">
        <v>28</v>
      </c>
      <c r="D29" s="14" t="s">
        <v>166</v>
      </c>
      <c r="E29" s="13">
        <v>1</v>
      </c>
      <c r="F29" s="13">
        <v>30</v>
      </c>
      <c r="G29" s="13">
        <v>107</v>
      </c>
      <c r="H29" s="14" t="s">
        <v>167</v>
      </c>
      <c r="I29" s="26"/>
      <c r="J29" s="26"/>
      <c r="K29" s="14" t="s">
        <v>168</v>
      </c>
      <c r="L29" s="14" t="s">
        <v>135</v>
      </c>
      <c r="M29" s="26"/>
    </row>
    <row r="30" spans="1:13" ht="12.75" x14ac:dyDescent="0.2">
      <c r="A30" s="2">
        <v>45919.406116886574</v>
      </c>
      <c r="B30" s="9" t="s">
        <v>11</v>
      </c>
      <c r="C30" s="13">
        <v>29</v>
      </c>
      <c r="D30" s="14" t="s">
        <v>169</v>
      </c>
      <c r="E30" s="13">
        <v>1</v>
      </c>
      <c r="F30" s="13">
        <v>15</v>
      </c>
      <c r="G30" s="13">
        <v>69</v>
      </c>
      <c r="H30" s="14" t="s">
        <v>170</v>
      </c>
      <c r="I30" s="26"/>
      <c r="J30" s="26"/>
      <c r="K30" s="14" t="s">
        <v>171</v>
      </c>
      <c r="L30" s="14" t="s">
        <v>172</v>
      </c>
      <c r="M30" s="26"/>
    </row>
    <row r="31" spans="1:13" ht="12.75" x14ac:dyDescent="0.2">
      <c r="A31" s="1">
        <v>45919.447184745368</v>
      </c>
      <c r="B31" s="8" t="s">
        <v>46</v>
      </c>
      <c r="C31" s="13">
        <v>30</v>
      </c>
      <c r="D31" s="14" t="s">
        <v>182</v>
      </c>
      <c r="E31" s="13">
        <v>1</v>
      </c>
      <c r="F31" s="13">
        <v>15</v>
      </c>
      <c r="G31" s="13">
        <v>81</v>
      </c>
      <c r="H31" s="16" t="s">
        <v>183</v>
      </c>
      <c r="I31" s="26"/>
      <c r="J31" s="26"/>
      <c r="K31" s="14" t="s">
        <v>184</v>
      </c>
      <c r="L31" s="14" t="s">
        <v>155</v>
      </c>
      <c r="M31" s="26"/>
    </row>
    <row r="32" spans="1:13" ht="12.75" x14ac:dyDescent="0.2">
      <c r="A32" s="2">
        <v>45919.49419824074</v>
      </c>
      <c r="B32" s="9" t="s">
        <v>46</v>
      </c>
      <c r="C32" s="13">
        <v>31</v>
      </c>
      <c r="D32" s="14" t="s">
        <v>185</v>
      </c>
      <c r="E32" s="13">
        <v>1</v>
      </c>
      <c r="F32" s="13">
        <v>19</v>
      </c>
      <c r="G32" s="13">
        <v>510</v>
      </c>
      <c r="H32" s="14" t="s">
        <v>186</v>
      </c>
      <c r="I32" s="26"/>
      <c r="J32" s="26"/>
      <c r="K32" s="14" t="s">
        <v>187</v>
      </c>
      <c r="L32" s="14" t="s">
        <v>20</v>
      </c>
      <c r="M32" s="26"/>
    </row>
    <row r="33" spans="1:13" ht="12.75" x14ac:dyDescent="0.2">
      <c r="A33" s="1">
        <v>45918.408325902783</v>
      </c>
      <c r="B33" s="8" t="s">
        <v>46</v>
      </c>
      <c r="C33" s="13">
        <v>32</v>
      </c>
      <c r="D33" s="14" t="s">
        <v>75</v>
      </c>
      <c r="E33" s="18">
        <v>1</v>
      </c>
      <c r="F33" s="18">
        <v>20</v>
      </c>
      <c r="G33" s="18">
        <v>33</v>
      </c>
      <c r="H33" s="16"/>
      <c r="I33" s="26"/>
      <c r="J33" s="26"/>
      <c r="K33" s="14" t="s">
        <v>76</v>
      </c>
      <c r="L33" s="14" t="s">
        <v>77</v>
      </c>
      <c r="M33" s="14"/>
    </row>
    <row r="34" spans="1:13" ht="12.75" x14ac:dyDescent="0.2">
      <c r="A34" s="1">
        <v>45916.41252597222</v>
      </c>
      <c r="B34" s="8" t="s">
        <v>11</v>
      </c>
      <c r="C34" s="13">
        <v>33</v>
      </c>
      <c r="D34" s="14" t="s">
        <v>12</v>
      </c>
      <c r="E34" s="13">
        <v>2</v>
      </c>
      <c r="F34" s="13">
        <v>33</v>
      </c>
      <c r="G34" s="13">
        <v>118</v>
      </c>
      <c r="H34" s="14" t="s">
        <v>13</v>
      </c>
      <c r="I34" s="14"/>
      <c r="J34" s="14"/>
      <c r="K34" s="14" t="s">
        <v>14</v>
      </c>
      <c r="L34" s="14" t="s">
        <v>15</v>
      </c>
      <c r="M34" s="14"/>
    </row>
    <row r="35" spans="1:13" ht="12.75" x14ac:dyDescent="0.2">
      <c r="A35" s="2">
        <v>45916.424670844906</v>
      </c>
      <c r="B35" s="9" t="s">
        <v>11</v>
      </c>
      <c r="C35" s="13">
        <v>34</v>
      </c>
      <c r="D35" s="14" t="s">
        <v>25</v>
      </c>
      <c r="E35" s="13">
        <v>2</v>
      </c>
      <c r="F35" s="13">
        <v>31</v>
      </c>
      <c r="G35" s="13">
        <v>175</v>
      </c>
      <c r="H35" s="14" t="s">
        <v>26</v>
      </c>
      <c r="I35" s="14"/>
      <c r="J35" s="14"/>
      <c r="K35" s="14" t="s">
        <v>27</v>
      </c>
      <c r="L35" s="14" t="s">
        <v>20</v>
      </c>
      <c r="M35" s="14"/>
    </row>
    <row r="36" spans="1:13" ht="12.75" x14ac:dyDescent="0.2">
      <c r="A36" s="1">
        <v>45916.468954525466</v>
      </c>
      <c r="B36" s="8" t="s">
        <v>16</v>
      </c>
      <c r="C36" s="13">
        <v>35</v>
      </c>
      <c r="D36" s="14" t="s">
        <v>33</v>
      </c>
      <c r="E36" s="13">
        <v>2</v>
      </c>
      <c r="F36" s="13">
        <v>45</v>
      </c>
      <c r="G36" s="13">
        <v>112</v>
      </c>
      <c r="H36" s="14" t="s">
        <v>18</v>
      </c>
      <c r="I36" s="14"/>
      <c r="J36" s="14"/>
      <c r="K36" s="14" t="s">
        <v>34</v>
      </c>
      <c r="L36" s="14" t="s">
        <v>15</v>
      </c>
      <c r="M36" s="14"/>
    </row>
    <row r="37" spans="1:13" ht="12.75" x14ac:dyDescent="0.2">
      <c r="A37" s="2">
        <v>45918.391853923611</v>
      </c>
      <c r="B37" s="9" t="s">
        <v>11</v>
      </c>
      <c r="C37" s="13">
        <v>36</v>
      </c>
      <c r="D37" s="14" t="s">
        <v>65</v>
      </c>
      <c r="E37" s="13">
        <v>2</v>
      </c>
      <c r="F37" s="13">
        <v>30</v>
      </c>
      <c r="G37" s="13">
        <v>329</v>
      </c>
      <c r="H37" s="14" t="s">
        <v>66</v>
      </c>
      <c r="I37" s="26"/>
      <c r="J37" s="26"/>
      <c r="K37" s="14" t="s">
        <v>67</v>
      </c>
      <c r="L37" s="14" t="s">
        <v>24</v>
      </c>
      <c r="M37" s="14"/>
    </row>
    <row r="38" spans="1:13" ht="12.75" x14ac:dyDescent="0.2">
      <c r="A38" s="1">
        <v>45918.597836516201</v>
      </c>
      <c r="B38" s="8" t="s">
        <v>16</v>
      </c>
      <c r="C38" s="13">
        <v>37</v>
      </c>
      <c r="D38" s="14" t="s">
        <v>109</v>
      </c>
      <c r="E38" s="13">
        <v>2</v>
      </c>
      <c r="F38" s="13">
        <v>32</v>
      </c>
      <c r="G38" s="13">
        <v>620</v>
      </c>
      <c r="H38" s="14" t="s">
        <v>110</v>
      </c>
      <c r="I38" s="26"/>
      <c r="J38" s="26"/>
      <c r="K38" s="14" t="s">
        <v>111</v>
      </c>
      <c r="L38" s="14" t="s">
        <v>30</v>
      </c>
      <c r="M38" s="26"/>
    </row>
    <row r="39" spans="1:13" ht="12.75" x14ac:dyDescent="0.2">
      <c r="A39" s="2">
        <v>45918.845547824079</v>
      </c>
      <c r="B39" s="9" t="s">
        <v>11</v>
      </c>
      <c r="C39" s="13">
        <v>38</v>
      </c>
      <c r="D39" s="14" t="s">
        <v>136</v>
      </c>
      <c r="E39" s="13">
        <v>2</v>
      </c>
      <c r="F39" s="13">
        <v>40</v>
      </c>
      <c r="G39" s="13">
        <v>674</v>
      </c>
      <c r="H39" s="14" t="s">
        <v>137</v>
      </c>
      <c r="I39" s="26"/>
      <c r="J39" s="26"/>
      <c r="K39" s="14" t="s">
        <v>138</v>
      </c>
      <c r="L39" s="14" t="s">
        <v>126</v>
      </c>
      <c r="M39" s="26"/>
    </row>
    <row r="40" spans="1:13" ht="12.75" x14ac:dyDescent="0.2">
      <c r="A40" s="1">
        <v>45919.419247592596</v>
      </c>
      <c r="B40" s="8" t="s">
        <v>46</v>
      </c>
      <c r="C40" s="13">
        <v>39</v>
      </c>
      <c r="D40" s="17" t="s">
        <v>173</v>
      </c>
      <c r="E40" s="13">
        <v>1</v>
      </c>
      <c r="F40" s="13">
        <v>20</v>
      </c>
      <c r="G40" s="13">
        <v>436</v>
      </c>
      <c r="H40" s="17" t="s">
        <v>254</v>
      </c>
      <c r="I40" s="26"/>
      <c r="J40" s="26"/>
      <c r="K40" s="14" t="s">
        <v>174</v>
      </c>
      <c r="L40" s="14" t="s">
        <v>126</v>
      </c>
      <c r="M40" s="26"/>
    </row>
    <row r="41" spans="1:13" ht="12.75" x14ac:dyDescent="0.2">
      <c r="A41" s="2">
        <v>45919.42975210648</v>
      </c>
      <c r="B41" s="9" t="s">
        <v>11</v>
      </c>
      <c r="C41" s="13">
        <v>40</v>
      </c>
      <c r="D41" s="14" t="s">
        <v>175</v>
      </c>
      <c r="E41" s="13">
        <v>2</v>
      </c>
      <c r="F41" s="13">
        <v>24</v>
      </c>
      <c r="G41" s="13">
        <v>104</v>
      </c>
      <c r="H41" s="14" t="s">
        <v>176</v>
      </c>
      <c r="I41" s="26"/>
      <c r="J41" s="26"/>
      <c r="K41" s="14" t="s">
        <v>177</v>
      </c>
      <c r="L41" s="14" t="s">
        <v>15</v>
      </c>
      <c r="M41" s="26"/>
    </row>
    <row r="42" spans="1:13" ht="12.75" x14ac:dyDescent="0.2">
      <c r="A42" s="1">
        <v>45917.692936898151</v>
      </c>
      <c r="B42" s="8" t="s">
        <v>46</v>
      </c>
      <c r="C42" s="13">
        <v>41</v>
      </c>
      <c r="D42" s="14" t="s">
        <v>47</v>
      </c>
      <c r="E42" s="18">
        <v>1</v>
      </c>
      <c r="F42" s="18">
        <v>20</v>
      </c>
      <c r="G42" s="18">
        <v>183</v>
      </c>
      <c r="H42" s="16" t="s">
        <v>248</v>
      </c>
      <c r="I42" s="26"/>
      <c r="J42" s="26"/>
      <c r="K42" s="14" t="s">
        <v>48</v>
      </c>
      <c r="L42" s="14" t="s">
        <v>30</v>
      </c>
      <c r="M42" s="14"/>
    </row>
    <row r="43" spans="1:13" ht="12.75" x14ac:dyDescent="0.2">
      <c r="A43" s="2">
        <v>45918.397507141199</v>
      </c>
      <c r="B43" s="9" t="s">
        <v>16</v>
      </c>
      <c r="C43" s="13">
        <v>42</v>
      </c>
      <c r="D43" s="14" t="s">
        <v>31</v>
      </c>
      <c r="E43" s="19">
        <v>2</v>
      </c>
      <c r="F43" s="19">
        <v>26</v>
      </c>
      <c r="G43" s="19">
        <v>70</v>
      </c>
      <c r="H43" s="20" t="s">
        <v>71</v>
      </c>
      <c r="I43" s="26"/>
      <c r="J43" s="26"/>
      <c r="K43" s="14" t="s">
        <v>72</v>
      </c>
      <c r="L43" s="14" t="s">
        <v>15</v>
      </c>
      <c r="M43" s="14"/>
    </row>
    <row r="44" spans="1:13" ht="12.75" x14ac:dyDescent="0.2">
      <c r="A44" s="1">
        <v>45918.380930277781</v>
      </c>
      <c r="B44" s="8" t="s">
        <v>16</v>
      </c>
      <c r="C44" s="13">
        <v>43</v>
      </c>
      <c r="D44" s="14" t="s">
        <v>49</v>
      </c>
      <c r="E44" s="13">
        <v>3</v>
      </c>
      <c r="F44" s="13">
        <v>36</v>
      </c>
      <c r="G44" s="13">
        <v>724</v>
      </c>
      <c r="H44" s="14" t="s">
        <v>50</v>
      </c>
      <c r="I44" s="26"/>
      <c r="J44" s="26"/>
      <c r="K44" s="14" t="s">
        <v>51</v>
      </c>
      <c r="L44" s="14" t="s">
        <v>20</v>
      </c>
      <c r="M44" s="14"/>
    </row>
    <row r="45" spans="1:13" ht="12.75" x14ac:dyDescent="0.2">
      <c r="A45" s="2">
        <v>45918.416950694445</v>
      </c>
      <c r="B45" s="9" t="s">
        <v>11</v>
      </c>
      <c r="C45" s="13">
        <v>44</v>
      </c>
      <c r="D45" s="14" t="s">
        <v>78</v>
      </c>
      <c r="E45" s="13">
        <v>3</v>
      </c>
      <c r="F45" s="13">
        <v>36</v>
      </c>
      <c r="G45" s="13">
        <v>68</v>
      </c>
      <c r="H45" s="14" t="s">
        <v>79</v>
      </c>
      <c r="I45" s="26"/>
      <c r="J45" s="26"/>
      <c r="K45" s="14" t="s">
        <v>80</v>
      </c>
      <c r="L45" s="14" t="s">
        <v>81</v>
      </c>
      <c r="M45" s="14"/>
    </row>
    <row r="46" spans="1:13" ht="12.75" x14ac:dyDescent="0.2">
      <c r="A46" s="1">
        <v>45918.639522627316</v>
      </c>
      <c r="B46" s="8" t="s">
        <v>16</v>
      </c>
      <c r="C46" s="13">
        <v>45</v>
      </c>
      <c r="D46" s="14" t="s">
        <v>120</v>
      </c>
      <c r="E46" s="13">
        <v>3</v>
      </c>
      <c r="F46" s="13">
        <v>59</v>
      </c>
      <c r="G46" s="13">
        <v>175</v>
      </c>
      <c r="H46" s="14" t="s">
        <v>121</v>
      </c>
      <c r="I46" s="26"/>
      <c r="J46" s="26"/>
      <c r="K46" s="14" t="s">
        <v>122</v>
      </c>
      <c r="L46" s="14" t="s">
        <v>123</v>
      </c>
      <c r="M46" s="26"/>
    </row>
    <row r="47" spans="1:13" ht="12.75" x14ac:dyDescent="0.2">
      <c r="A47" s="2">
        <v>45918.842734270831</v>
      </c>
      <c r="B47" s="9" t="s">
        <v>46</v>
      </c>
      <c r="C47" s="13">
        <v>46</v>
      </c>
      <c r="D47" s="17" t="s">
        <v>130</v>
      </c>
      <c r="E47" s="13">
        <v>3</v>
      </c>
      <c r="F47" s="13">
        <v>60</v>
      </c>
      <c r="G47" s="13">
        <v>320</v>
      </c>
      <c r="H47" s="14" t="s">
        <v>190</v>
      </c>
      <c r="I47" s="27" t="s">
        <v>188</v>
      </c>
      <c r="J47" s="26"/>
      <c r="K47" s="14" t="s">
        <v>131</v>
      </c>
      <c r="L47" s="14" t="s">
        <v>30</v>
      </c>
      <c r="M47" s="26"/>
    </row>
    <row r="48" spans="1:13" ht="12.75" x14ac:dyDescent="0.2">
      <c r="A48" s="1">
        <v>45918.927951388891</v>
      </c>
      <c r="B48" s="8" t="s">
        <v>16</v>
      </c>
      <c r="C48" s="13">
        <v>47</v>
      </c>
      <c r="D48" s="14" t="s">
        <v>152</v>
      </c>
      <c r="E48" s="13">
        <v>3</v>
      </c>
      <c r="F48" s="13">
        <v>50</v>
      </c>
      <c r="G48" s="13">
        <v>180</v>
      </c>
      <c r="H48" s="14" t="s">
        <v>153</v>
      </c>
      <c r="I48" s="26"/>
      <c r="J48" s="26"/>
      <c r="K48" s="14" t="s">
        <v>154</v>
      </c>
      <c r="L48" s="14" t="s">
        <v>155</v>
      </c>
      <c r="M48" s="26"/>
    </row>
    <row r="49" spans="1:13" ht="12.75" x14ac:dyDescent="0.2">
      <c r="A49" s="2">
        <v>45918.394223738425</v>
      </c>
      <c r="B49" s="9" t="s">
        <v>11</v>
      </c>
      <c r="C49" s="13">
        <v>48</v>
      </c>
      <c r="D49" s="14" t="s">
        <v>68</v>
      </c>
      <c r="E49" s="13">
        <v>4</v>
      </c>
      <c r="F49" s="13">
        <v>60</v>
      </c>
      <c r="G49" s="13">
        <v>728</v>
      </c>
      <c r="H49" s="14" t="s">
        <v>69</v>
      </c>
      <c r="I49" s="26"/>
      <c r="J49" s="26"/>
      <c r="K49" s="14" t="s">
        <v>70</v>
      </c>
      <c r="L49" s="14" t="s">
        <v>30</v>
      </c>
      <c r="M49" s="14"/>
    </row>
    <row r="50" spans="1:13" ht="12.75" x14ac:dyDescent="0.2">
      <c r="A50" s="1">
        <v>45918.421014583335</v>
      </c>
      <c r="B50" s="8" t="s">
        <v>46</v>
      </c>
      <c r="C50" s="13">
        <v>49</v>
      </c>
      <c r="D50" s="14" t="s">
        <v>82</v>
      </c>
      <c r="E50" s="13">
        <v>4</v>
      </c>
      <c r="F50" s="13">
        <v>70</v>
      </c>
      <c r="G50" s="13">
        <v>559</v>
      </c>
      <c r="H50" s="16" t="s">
        <v>246</v>
      </c>
      <c r="I50" s="26"/>
      <c r="J50" s="26"/>
      <c r="K50" s="14" t="s">
        <v>83</v>
      </c>
      <c r="L50" s="14" t="s">
        <v>30</v>
      </c>
      <c r="M50" s="14" t="s">
        <v>84</v>
      </c>
    </row>
    <row r="51" spans="1:13" ht="12.75" x14ac:dyDescent="0.2">
      <c r="A51" s="2">
        <v>45918.439024444444</v>
      </c>
      <c r="B51" s="9" t="s">
        <v>46</v>
      </c>
      <c r="C51" s="13">
        <v>50</v>
      </c>
      <c r="D51" s="14" t="s">
        <v>88</v>
      </c>
      <c r="E51" s="13">
        <v>4</v>
      </c>
      <c r="F51" s="13">
        <v>15</v>
      </c>
      <c r="G51" s="13">
        <v>626</v>
      </c>
      <c r="H51" s="14" t="s">
        <v>89</v>
      </c>
      <c r="I51" s="26"/>
      <c r="J51" s="26"/>
      <c r="K51" s="14" t="s">
        <v>90</v>
      </c>
      <c r="L51" s="14" t="s">
        <v>91</v>
      </c>
      <c r="M51" s="14"/>
    </row>
    <row r="52" spans="1:13" ht="12.75" x14ac:dyDescent="0.2">
      <c r="A52" s="1">
        <v>45918.451685011576</v>
      </c>
      <c r="B52" s="8" t="s">
        <v>16</v>
      </c>
      <c r="C52" s="13">
        <v>51</v>
      </c>
      <c r="D52" s="14" t="s">
        <v>99</v>
      </c>
      <c r="E52" s="13">
        <v>4</v>
      </c>
      <c r="F52" s="13">
        <v>65</v>
      </c>
      <c r="G52" s="13">
        <v>723</v>
      </c>
      <c r="H52" s="14" t="s">
        <v>100</v>
      </c>
      <c r="I52" s="26"/>
      <c r="J52" s="26"/>
      <c r="K52" s="14" t="s">
        <v>101</v>
      </c>
      <c r="L52" s="14" t="s">
        <v>20</v>
      </c>
      <c r="M52" s="26"/>
    </row>
    <row r="53" spans="1:13" ht="12.75" x14ac:dyDescent="0.2">
      <c r="A53" s="2">
        <v>45918.891950694444</v>
      </c>
      <c r="B53" s="9" t="s">
        <v>46</v>
      </c>
      <c r="C53" s="13">
        <v>52</v>
      </c>
      <c r="D53" s="14" t="s">
        <v>143</v>
      </c>
      <c r="E53" s="13">
        <v>4</v>
      </c>
      <c r="F53" s="13">
        <v>68</v>
      </c>
      <c r="G53" s="13">
        <v>180</v>
      </c>
      <c r="H53" s="16" t="s">
        <v>251</v>
      </c>
      <c r="I53" s="26"/>
      <c r="J53" s="26"/>
      <c r="K53" s="14" t="s">
        <v>144</v>
      </c>
      <c r="L53" s="14" t="s">
        <v>145</v>
      </c>
      <c r="M53" s="26"/>
    </row>
    <row r="54" spans="1:13" ht="12.75" x14ac:dyDescent="0.2">
      <c r="A54" s="1">
        <v>45918.940966400463</v>
      </c>
      <c r="B54" s="8" t="s">
        <v>46</v>
      </c>
      <c r="C54" s="13">
        <v>53</v>
      </c>
      <c r="D54" s="17" t="s">
        <v>115</v>
      </c>
      <c r="E54" s="13">
        <v>2</v>
      </c>
      <c r="F54" s="13">
        <v>40</v>
      </c>
      <c r="G54" s="13">
        <v>98</v>
      </c>
      <c r="H54" s="16" t="s">
        <v>255</v>
      </c>
      <c r="I54" s="26"/>
      <c r="J54" s="26"/>
      <c r="K54" s="14" t="s">
        <v>159</v>
      </c>
      <c r="L54" s="14" t="s">
        <v>15</v>
      </c>
      <c r="M54" s="26"/>
    </row>
    <row r="55" spans="1:13" ht="12.75" x14ac:dyDescent="0.2">
      <c r="A55" s="2">
        <v>45918.812139120375</v>
      </c>
      <c r="B55" s="9" t="s">
        <v>11</v>
      </c>
      <c r="C55" s="13">
        <v>54</v>
      </c>
      <c r="D55" s="14" t="s">
        <v>127</v>
      </c>
      <c r="E55" s="13">
        <v>5</v>
      </c>
      <c r="F55" s="13">
        <v>125</v>
      </c>
      <c r="G55" s="13">
        <v>830</v>
      </c>
      <c r="H55" s="14" t="s">
        <v>128</v>
      </c>
      <c r="I55" s="26"/>
      <c r="J55" s="26"/>
      <c r="K55" s="14" t="s">
        <v>129</v>
      </c>
      <c r="L55" s="14" t="s">
        <v>20</v>
      </c>
      <c r="M55" s="26"/>
    </row>
    <row r="56" spans="1:13" ht="12.75" x14ac:dyDescent="0.2">
      <c r="A56" s="1">
        <v>45918.38134118056</v>
      </c>
      <c r="B56" s="8" t="s">
        <v>11</v>
      </c>
      <c r="C56" s="13">
        <v>55</v>
      </c>
      <c r="D56" s="14" t="s">
        <v>52</v>
      </c>
      <c r="E56" s="13">
        <v>6</v>
      </c>
      <c r="F56" s="13">
        <v>72</v>
      </c>
      <c r="G56" s="13">
        <v>149</v>
      </c>
      <c r="H56" s="14" t="s">
        <v>53</v>
      </c>
      <c r="I56" s="26"/>
      <c r="J56" s="26"/>
      <c r="K56" s="14" t="s">
        <v>54</v>
      </c>
      <c r="L56" s="14" t="s">
        <v>55</v>
      </c>
      <c r="M56" s="14"/>
    </row>
    <row r="57" spans="1:13" ht="12.75" x14ac:dyDescent="0.2">
      <c r="A57" s="1">
        <v>45918.423607997684</v>
      </c>
      <c r="B57" s="8" t="s">
        <v>11</v>
      </c>
      <c r="C57" s="13">
        <v>56</v>
      </c>
      <c r="D57" s="14" t="s">
        <v>85</v>
      </c>
      <c r="E57" s="13">
        <v>6</v>
      </c>
      <c r="F57" s="13">
        <v>120</v>
      </c>
      <c r="G57" s="13"/>
      <c r="H57" s="14" t="s">
        <v>86</v>
      </c>
      <c r="I57" s="26"/>
      <c r="J57" s="26"/>
      <c r="K57" s="14" t="s">
        <v>87</v>
      </c>
      <c r="L57" s="14" t="s">
        <v>15</v>
      </c>
      <c r="M57" s="14"/>
    </row>
    <row r="58" spans="1:13" ht="12.75" x14ac:dyDescent="0.2">
      <c r="A58" s="2">
        <v>45916.433113333333</v>
      </c>
      <c r="B58" s="9" t="s">
        <v>11</v>
      </c>
      <c r="C58" s="13">
        <v>57</v>
      </c>
      <c r="D58" s="14" t="s">
        <v>28</v>
      </c>
      <c r="E58" s="13">
        <v>6</v>
      </c>
      <c r="F58" s="13">
        <v>205</v>
      </c>
      <c r="G58" s="13">
        <v>530</v>
      </c>
      <c r="H58" s="14" t="s">
        <v>195</v>
      </c>
      <c r="I58" s="14"/>
      <c r="J58" s="14"/>
      <c r="K58" s="14" t="s">
        <v>29</v>
      </c>
      <c r="L58" s="14" t="s">
        <v>30</v>
      </c>
      <c r="M58" s="14"/>
    </row>
    <row r="59" spans="1:13" ht="12.75" x14ac:dyDescent="0.2">
      <c r="A59" s="3">
        <v>45918.383429224537</v>
      </c>
      <c r="B59" s="10" t="s">
        <v>11</v>
      </c>
      <c r="C59" s="13">
        <v>58</v>
      </c>
      <c r="D59" s="14" t="s">
        <v>56</v>
      </c>
      <c r="E59" s="13">
        <v>7</v>
      </c>
      <c r="F59" s="13">
        <v>150</v>
      </c>
      <c r="G59" s="13"/>
      <c r="H59" s="14" t="s">
        <v>57</v>
      </c>
      <c r="I59" s="26"/>
      <c r="J59" s="26"/>
      <c r="K59" s="14" t="s">
        <v>58</v>
      </c>
      <c r="L59" s="14" t="s">
        <v>59</v>
      </c>
      <c r="M59" s="14"/>
    </row>
    <row r="60" spans="1:13" ht="15.75" customHeight="1" x14ac:dyDescent="0.2">
      <c r="C60" s="43"/>
      <c r="D60" s="44" t="s">
        <v>252</v>
      </c>
      <c r="E60" s="45"/>
      <c r="F60" s="45"/>
      <c r="G60" s="43" t="e">
        <f>_xlfn.XLOOKUP('[1]Bilgisayarı olan okullarımız'!$L$4,'[1]Bilgisayarı olan okullarımız'!$H$4:$H$49,'[1]Bilgisayarı olan okullarımız'!$L$4:$L$49)</f>
        <v>#N/A</v>
      </c>
      <c r="H60" s="46"/>
      <c r="I60" s="46"/>
      <c r="J60" s="46"/>
      <c r="K60" s="46"/>
      <c r="L60" s="46"/>
      <c r="M60" s="46"/>
    </row>
    <row r="61" spans="1:13" ht="15.75" customHeight="1" x14ac:dyDescent="0.2">
      <c r="C61" s="43"/>
      <c r="D61" s="44" t="s">
        <v>253</v>
      </c>
      <c r="E61" s="45"/>
      <c r="F61" s="45"/>
      <c r="G61" s="43" t="e">
        <f>_xlfn.XLOOKUP('[1]Bilgisayarı olan okullarımız'!$L$4,'[1]Bilgisayarı olan okullarımız'!$H$4:$H$49,'[1]Bilgisayarı olan okullarımız'!$L$4:$L$49)</f>
        <v>#N/A</v>
      </c>
      <c r="H61" s="46"/>
      <c r="I61" s="46"/>
      <c r="J61" s="46"/>
      <c r="K61" s="46"/>
      <c r="L61" s="46"/>
      <c r="M61" s="46"/>
    </row>
    <row r="62" spans="1:13" ht="15.75" customHeight="1" x14ac:dyDescent="0.2">
      <c r="D62" s="21" t="s">
        <v>194</v>
      </c>
      <c r="E62" s="4">
        <f>SUM(E2:E61)-32</f>
        <v>69</v>
      </c>
      <c r="F62">
        <f>SUM(F2:F61)-784</f>
        <v>1032</v>
      </c>
    </row>
    <row r="70" spans="4:18" ht="15.75" customHeight="1" thickBot="1" x14ac:dyDescent="0.25">
      <c r="D70" s="48" t="s">
        <v>120</v>
      </c>
    </row>
    <row r="71" spans="4:18" ht="15.75" customHeight="1" thickBot="1" x14ac:dyDescent="0.25">
      <c r="D71" s="54" t="s">
        <v>12</v>
      </c>
      <c r="E71" s="47"/>
      <c r="F71" s="48"/>
      <c r="G71" s="48"/>
      <c r="H71" s="48"/>
      <c r="I71" s="48" t="s">
        <v>256</v>
      </c>
      <c r="J71" s="48" t="s">
        <v>257</v>
      </c>
      <c r="L71" s="49"/>
      <c r="M71" s="49"/>
      <c r="N71" s="47"/>
      <c r="O71" s="50"/>
      <c r="P71" s="51"/>
      <c r="Q71" s="51"/>
      <c r="R71" s="51"/>
    </row>
    <row r="72" spans="4:18" ht="15.75" customHeight="1" thickBot="1" x14ac:dyDescent="0.25">
      <c r="D72" s="48" t="s">
        <v>130</v>
      </c>
      <c r="E72" s="53"/>
      <c r="F72" s="54"/>
      <c r="G72" s="54"/>
      <c r="H72" s="54"/>
      <c r="I72" s="54" t="s">
        <v>256</v>
      </c>
      <c r="J72" s="54" t="s">
        <v>257</v>
      </c>
      <c r="L72" s="55"/>
      <c r="M72" s="55"/>
      <c r="N72" s="53"/>
      <c r="O72" s="56"/>
      <c r="P72" s="57"/>
      <c r="Q72" s="57"/>
      <c r="R72" s="57"/>
    </row>
    <row r="73" spans="4:18" ht="15.75" customHeight="1" thickBot="1" x14ac:dyDescent="0.25">
      <c r="D73" s="54" t="s">
        <v>43</v>
      </c>
      <c r="E73" s="47"/>
      <c r="F73" s="48"/>
      <c r="G73" s="48"/>
      <c r="H73" s="48"/>
      <c r="I73" s="48" t="s">
        <v>256</v>
      </c>
      <c r="J73" s="48" t="s">
        <v>257</v>
      </c>
      <c r="L73" s="49"/>
      <c r="M73" s="49"/>
      <c r="N73" s="47"/>
      <c r="O73" s="47"/>
      <c r="P73" s="51"/>
      <c r="Q73" s="51"/>
      <c r="R73" s="51"/>
    </row>
    <row r="74" spans="4:18" ht="15.75" customHeight="1" thickBot="1" x14ac:dyDescent="0.25">
      <c r="D74" s="48" t="s">
        <v>127</v>
      </c>
      <c r="E74" s="53"/>
      <c r="F74" s="54"/>
      <c r="G74" s="54"/>
      <c r="H74" s="54"/>
      <c r="I74" s="54" t="s">
        <v>256</v>
      </c>
      <c r="J74" s="54" t="s">
        <v>257</v>
      </c>
      <c r="L74" s="55"/>
      <c r="M74" s="55"/>
      <c r="N74" s="53"/>
      <c r="O74" s="53"/>
      <c r="P74" s="57"/>
      <c r="Q74" s="57"/>
      <c r="R74" s="57"/>
    </row>
    <row r="75" spans="4:18" ht="15.75" customHeight="1" thickBot="1" x14ac:dyDescent="0.25">
      <c r="D75" s="54" t="s">
        <v>258</v>
      </c>
      <c r="E75" s="47"/>
      <c r="F75" s="48"/>
      <c r="G75" s="48"/>
      <c r="H75" s="48"/>
      <c r="I75" s="48" t="s">
        <v>256</v>
      </c>
      <c r="J75" s="48" t="s">
        <v>257</v>
      </c>
      <c r="L75" s="49"/>
      <c r="M75" s="49"/>
      <c r="N75" s="47"/>
      <c r="O75" s="47"/>
      <c r="P75" s="51"/>
      <c r="Q75" s="51"/>
      <c r="R75" s="51"/>
    </row>
    <row r="76" spans="4:18" ht="15.75" customHeight="1" thickBot="1" x14ac:dyDescent="0.25">
      <c r="D76" s="48" t="s">
        <v>127</v>
      </c>
      <c r="E76" s="53"/>
      <c r="F76" s="54"/>
      <c r="G76" s="54"/>
      <c r="H76" s="54"/>
      <c r="I76" s="54" t="s">
        <v>256</v>
      </c>
      <c r="J76" s="54" t="s">
        <v>257</v>
      </c>
      <c r="L76" s="55"/>
      <c r="M76" s="55"/>
      <c r="N76" s="53"/>
      <c r="O76" s="56"/>
      <c r="P76" s="57"/>
      <c r="Q76" s="57"/>
      <c r="R76" s="57"/>
    </row>
    <row r="77" spans="4:18" ht="15.75" customHeight="1" thickBot="1" x14ac:dyDescent="0.25">
      <c r="D77" s="54" t="s">
        <v>127</v>
      </c>
      <c r="E77" s="47"/>
      <c r="F77" s="48"/>
      <c r="G77" s="48"/>
      <c r="H77" s="48"/>
      <c r="I77" s="48" t="s">
        <v>256</v>
      </c>
      <c r="J77" s="48" t="s">
        <v>257</v>
      </c>
      <c r="L77" s="49"/>
      <c r="M77" s="49"/>
      <c r="N77" s="47"/>
      <c r="O77" s="50"/>
      <c r="P77" s="51"/>
      <c r="Q77" s="51"/>
      <c r="R77" s="51"/>
    </row>
    <row r="78" spans="4:18" ht="15.75" customHeight="1" thickBot="1" x14ac:dyDescent="0.25">
      <c r="D78" s="48" t="s">
        <v>127</v>
      </c>
      <c r="E78" s="53"/>
      <c r="F78" s="54"/>
      <c r="G78" s="54"/>
      <c r="H78" s="54"/>
      <c r="I78" s="54" t="s">
        <v>256</v>
      </c>
      <c r="J78" s="54" t="s">
        <v>257</v>
      </c>
      <c r="L78" s="55"/>
      <c r="M78" s="55"/>
      <c r="N78" s="53"/>
      <c r="O78" s="53"/>
      <c r="P78" s="57"/>
      <c r="Q78" s="57"/>
      <c r="R78" s="57"/>
    </row>
    <row r="79" spans="4:18" ht="15.75" customHeight="1" thickBot="1" x14ac:dyDescent="0.25">
      <c r="D79" s="54" t="s">
        <v>127</v>
      </c>
      <c r="E79" s="47"/>
      <c r="F79" s="48"/>
      <c r="G79" s="48"/>
      <c r="H79" s="48"/>
      <c r="I79" s="48" t="s">
        <v>256</v>
      </c>
      <c r="J79" s="48" t="s">
        <v>257</v>
      </c>
      <c r="L79" s="49"/>
      <c r="M79" s="49"/>
      <c r="N79" s="47"/>
      <c r="O79" s="47"/>
      <c r="P79" s="51"/>
      <c r="Q79" s="51"/>
      <c r="R79" s="51"/>
    </row>
    <row r="80" spans="4:18" ht="15.75" customHeight="1" thickBot="1" x14ac:dyDescent="0.25">
      <c r="D80" s="48" t="s">
        <v>127</v>
      </c>
      <c r="E80" s="53"/>
      <c r="F80" s="54"/>
      <c r="G80" s="54"/>
      <c r="H80" s="54"/>
      <c r="I80" s="54" t="s">
        <v>256</v>
      </c>
      <c r="J80" s="54" t="s">
        <v>257</v>
      </c>
      <c r="L80" s="55"/>
      <c r="M80" s="55"/>
      <c r="N80" s="53"/>
      <c r="O80" s="56"/>
      <c r="P80" s="57"/>
      <c r="Q80" s="57"/>
      <c r="R80" s="57"/>
    </row>
    <row r="81" spans="4:18" ht="15.75" customHeight="1" thickBot="1" x14ac:dyDescent="0.25">
      <c r="D81" s="54" t="s">
        <v>127</v>
      </c>
      <c r="E81" s="47"/>
      <c r="F81" s="48"/>
      <c r="G81" s="48"/>
      <c r="H81" s="48"/>
      <c r="I81" s="48" t="s">
        <v>256</v>
      </c>
      <c r="J81" s="48" t="s">
        <v>257</v>
      </c>
      <c r="L81" s="49"/>
      <c r="M81" s="49"/>
      <c r="N81" s="47"/>
      <c r="O81" s="50"/>
      <c r="P81" s="51"/>
      <c r="Q81" s="51"/>
      <c r="R81" s="51"/>
    </row>
    <row r="82" spans="4:18" ht="15.75" customHeight="1" thickBot="1" x14ac:dyDescent="0.25">
      <c r="D82" s="48" t="s">
        <v>21</v>
      </c>
      <c r="E82" s="53"/>
      <c r="F82" s="54"/>
      <c r="G82" s="54"/>
      <c r="H82" s="54"/>
      <c r="I82" s="54" t="s">
        <v>256</v>
      </c>
      <c r="J82" s="54" t="s">
        <v>257</v>
      </c>
      <c r="L82" s="55"/>
      <c r="M82" s="55"/>
      <c r="N82" s="53"/>
      <c r="O82" s="56"/>
      <c r="P82" s="57"/>
      <c r="Q82" s="57"/>
      <c r="R82" s="57"/>
    </row>
    <row r="83" spans="4:18" ht="15.75" customHeight="1" thickBot="1" x14ac:dyDescent="0.25">
      <c r="D83" s="54" t="s">
        <v>259</v>
      </c>
      <c r="E83" s="47"/>
      <c r="F83" s="48"/>
      <c r="G83" s="48"/>
      <c r="H83" s="48"/>
      <c r="I83" s="48" t="s">
        <v>256</v>
      </c>
      <c r="J83" s="48" t="s">
        <v>257</v>
      </c>
      <c r="L83" s="49"/>
      <c r="M83" s="49"/>
      <c r="N83" s="47"/>
      <c r="O83" s="47"/>
      <c r="P83" s="51"/>
      <c r="Q83" s="51"/>
      <c r="R83" s="51"/>
    </row>
    <row r="84" spans="4:18" ht="15.75" customHeight="1" thickBot="1" x14ac:dyDescent="0.25">
      <c r="D84" s="48" t="s">
        <v>120</v>
      </c>
      <c r="E84" s="53"/>
      <c r="F84" s="54"/>
      <c r="G84" s="54"/>
      <c r="H84" s="54"/>
      <c r="I84" s="54" t="s">
        <v>256</v>
      </c>
      <c r="J84" s="54" t="s">
        <v>257</v>
      </c>
      <c r="L84" s="55"/>
      <c r="M84" s="55"/>
      <c r="N84" s="53"/>
      <c r="O84" s="53"/>
      <c r="P84" s="57"/>
      <c r="Q84" s="57"/>
      <c r="R84" s="57"/>
    </row>
    <row r="85" spans="4:18" ht="15.75" customHeight="1" thickBot="1" x14ac:dyDescent="0.25">
      <c r="D85" s="54" t="s">
        <v>130</v>
      </c>
      <c r="E85" s="47"/>
      <c r="F85" s="48"/>
      <c r="G85" s="48"/>
      <c r="H85" s="48"/>
      <c r="I85" s="48" t="s">
        <v>256</v>
      </c>
      <c r="J85" s="48" t="s">
        <v>257</v>
      </c>
      <c r="L85" s="49"/>
      <c r="M85" s="49"/>
      <c r="N85" s="47"/>
      <c r="O85" s="50"/>
      <c r="P85" s="51"/>
      <c r="Q85" s="51"/>
      <c r="R85" s="51"/>
    </row>
    <row r="86" spans="4:18" ht="15.75" customHeight="1" thickBot="1" x14ac:dyDescent="0.25">
      <c r="D86" s="48" t="s">
        <v>120</v>
      </c>
      <c r="E86" s="53"/>
      <c r="F86" s="54"/>
      <c r="G86" s="54"/>
      <c r="H86" s="54"/>
      <c r="I86" s="54" t="s">
        <v>256</v>
      </c>
      <c r="J86" s="54" t="s">
        <v>257</v>
      </c>
      <c r="L86" s="55"/>
      <c r="M86" s="55"/>
      <c r="N86" s="53"/>
      <c r="O86" s="56"/>
      <c r="P86" s="57"/>
      <c r="Q86" s="57"/>
      <c r="R86" s="57"/>
    </row>
    <row r="87" spans="4:18" ht="15.75" customHeight="1" thickBot="1" x14ac:dyDescent="0.25">
      <c r="D87" s="54" t="s">
        <v>130</v>
      </c>
      <c r="E87" s="47"/>
      <c r="F87" s="48"/>
      <c r="G87" s="48"/>
      <c r="H87" s="48"/>
      <c r="I87" s="48" t="s">
        <v>256</v>
      </c>
      <c r="J87" s="48" t="s">
        <v>257</v>
      </c>
      <c r="L87" s="49"/>
      <c r="M87" s="49"/>
      <c r="N87" s="47"/>
      <c r="O87" s="47"/>
      <c r="P87" s="51"/>
      <c r="Q87" s="51"/>
      <c r="R87" s="51"/>
    </row>
    <row r="88" spans="4:18" ht="15.75" customHeight="1" thickBot="1" x14ac:dyDescent="0.25">
      <c r="D88" s="59"/>
      <c r="E88" s="53"/>
      <c r="F88" s="54"/>
      <c r="G88" s="54"/>
      <c r="H88" s="54"/>
      <c r="I88" s="54" t="s">
        <v>256</v>
      </c>
      <c r="J88" s="54" t="s">
        <v>257</v>
      </c>
      <c r="L88" s="55"/>
      <c r="M88" s="55"/>
      <c r="N88" s="53"/>
      <c r="O88" s="56"/>
      <c r="P88" s="57"/>
      <c r="Q88" s="57"/>
      <c r="R88" s="57"/>
    </row>
    <row r="89" spans="4:18" ht="15.75" customHeight="1" thickBot="1" x14ac:dyDescent="0.25">
      <c r="D89" s="54"/>
      <c r="E89" s="58"/>
      <c r="F89" s="59"/>
      <c r="G89" s="59"/>
      <c r="H89" s="59"/>
      <c r="I89" s="59" t="s">
        <v>260</v>
      </c>
      <c r="J89" s="59" t="s">
        <v>261</v>
      </c>
      <c r="L89" s="60"/>
      <c r="M89" s="60"/>
      <c r="N89" s="58"/>
      <c r="O89" s="58"/>
      <c r="P89" s="61"/>
      <c r="Q89" s="61"/>
      <c r="R89" s="61"/>
    </row>
    <row r="90" spans="4:18" ht="15.75" customHeight="1" thickBot="1" x14ac:dyDescent="0.25">
      <c r="D90" s="52"/>
      <c r="E90" s="53"/>
      <c r="F90" s="54"/>
      <c r="G90" s="54"/>
      <c r="H90" s="54"/>
      <c r="I90" s="54" t="s">
        <v>260</v>
      </c>
      <c r="J90" s="54" t="s">
        <v>261</v>
      </c>
      <c r="L90" s="55"/>
      <c r="M90" s="55"/>
      <c r="N90" s="53"/>
      <c r="O90" s="53"/>
      <c r="P90" s="57"/>
      <c r="Q90" s="57"/>
      <c r="R90" s="57"/>
    </row>
    <row r="91" spans="4:18" ht="15.75" customHeight="1" x14ac:dyDescent="0.2">
      <c r="E91"/>
    </row>
  </sheetData>
  <conditionalFormatting sqref="D2:D61">
    <cfRule type="duplicateValues" dxfId="14" priority="7"/>
  </conditionalFormatting>
  <conditionalFormatting sqref="D2:D69">
    <cfRule type="duplicateValues" dxfId="13" priority="65"/>
  </conditionalFormatting>
  <conditionalFormatting sqref="D2:D87">
    <cfRule type="duplicateValues" dxfId="12" priority="1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D969-A840-4873-BA4D-EEFF713A99DC}">
  <sheetPr>
    <outlinePr summaryBelow="0" summaryRight="0"/>
    <pageSetUpPr fitToPage="1"/>
  </sheetPr>
  <dimension ref="A1:R75"/>
  <sheetViews>
    <sheetView view="pageBreakPreview" topLeftCell="C1" zoomScaleNormal="100" zoomScaleSheetLayoutView="100" workbookViewId="0">
      <pane ySplit="1" topLeftCell="A2" activePane="bottomLeft" state="frozen"/>
      <selection pane="bottomLeft" activeCell="D20" sqref="D20"/>
    </sheetView>
  </sheetViews>
  <sheetFormatPr defaultColWidth="12.5703125" defaultRowHeight="15.75" customHeight="1" x14ac:dyDescent="0.2"/>
  <cols>
    <col min="1" max="1" width="18.85546875" hidden="1" customWidth="1"/>
    <col min="2" max="2" width="25.85546875" hidden="1" customWidth="1"/>
    <col min="3" max="3" width="7.7109375" customWidth="1"/>
    <col min="4" max="4" width="56.28515625" customWidth="1"/>
    <col min="5" max="5" width="12.85546875" style="4" customWidth="1"/>
    <col min="6" max="6" width="10.42578125" customWidth="1"/>
    <col min="7" max="7" width="8" customWidth="1"/>
    <col min="8" max="8" width="106.42578125" customWidth="1"/>
    <col min="9" max="9" width="37.42578125" hidden="1" customWidth="1"/>
    <col min="10" max="10" width="4.5703125" hidden="1" customWidth="1"/>
    <col min="11" max="11" width="20.7109375" customWidth="1"/>
    <col min="12" max="12" width="24.7109375" customWidth="1"/>
    <col min="13" max="18" width="18.85546875" customWidth="1"/>
  </cols>
  <sheetData>
    <row r="1" spans="1:14" ht="96.75" customHeight="1" x14ac:dyDescent="0.2">
      <c r="A1" s="5" t="s">
        <v>0</v>
      </c>
      <c r="B1" s="7" t="s">
        <v>1</v>
      </c>
      <c r="C1" s="11" t="s">
        <v>191</v>
      </c>
      <c r="D1" s="11" t="s">
        <v>2</v>
      </c>
      <c r="E1" s="12" t="s">
        <v>3</v>
      </c>
      <c r="F1" s="12" t="s">
        <v>4</v>
      </c>
      <c r="G1" s="42" t="s">
        <v>247</v>
      </c>
      <c r="H1" s="22" t="s">
        <v>5</v>
      </c>
      <c r="I1" s="23" t="s">
        <v>6</v>
      </c>
      <c r="J1" s="24" t="s">
        <v>7</v>
      </c>
      <c r="K1" s="24" t="s">
        <v>8</v>
      </c>
      <c r="L1" s="24" t="s">
        <v>9</v>
      </c>
      <c r="M1" s="25" t="s">
        <v>10</v>
      </c>
      <c r="N1" s="6"/>
    </row>
    <row r="2" spans="1:14" ht="12.75" x14ac:dyDescent="0.2">
      <c r="A2" s="2">
        <v>45916.524222442131</v>
      </c>
      <c r="B2" s="9" t="s">
        <v>16</v>
      </c>
      <c r="C2" s="13">
        <v>1</v>
      </c>
      <c r="D2" s="14" t="s">
        <v>17</v>
      </c>
      <c r="E2" s="13">
        <v>1</v>
      </c>
      <c r="F2" s="13">
        <v>12</v>
      </c>
      <c r="G2" s="13">
        <v>10</v>
      </c>
      <c r="H2" s="62" t="s">
        <v>18</v>
      </c>
      <c r="I2" s="14"/>
      <c r="J2" s="14"/>
      <c r="K2" s="14" t="s">
        <v>19</v>
      </c>
      <c r="L2" s="14" t="s">
        <v>20</v>
      </c>
      <c r="M2" s="14"/>
    </row>
    <row r="3" spans="1:14" ht="12.75" x14ac:dyDescent="0.2">
      <c r="A3" s="1">
        <v>45918.531521215278</v>
      </c>
      <c r="B3" s="8" t="s">
        <v>11</v>
      </c>
      <c r="C3" s="13">
        <v>2</v>
      </c>
      <c r="D3" s="17" t="s">
        <v>60</v>
      </c>
      <c r="E3" s="13">
        <v>1</v>
      </c>
      <c r="F3" s="13">
        <v>12</v>
      </c>
      <c r="G3" s="13">
        <v>370</v>
      </c>
      <c r="H3" s="16" t="s">
        <v>61</v>
      </c>
      <c r="I3" s="14" t="s">
        <v>38</v>
      </c>
      <c r="J3" s="26"/>
      <c r="K3" s="14" t="s">
        <v>62</v>
      </c>
      <c r="L3" s="14" t="s">
        <v>20</v>
      </c>
      <c r="M3" s="14"/>
    </row>
    <row r="4" spans="1:14" ht="12.75" x14ac:dyDescent="0.2">
      <c r="A4" s="2">
        <v>45918.624354016203</v>
      </c>
      <c r="B4" s="9" t="s">
        <v>16</v>
      </c>
      <c r="C4" s="13">
        <v>3</v>
      </c>
      <c r="D4" s="14" t="s">
        <v>95</v>
      </c>
      <c r="E4" s="13">
        <v>1</v>
      </c>
      <c r="F4" s="13">
        <v>15</v>
      </c>
      <c r="G4" s="13">
        <v>343</v>
      </c>
      <c r="H4" s="62" t="s">
        <v>96</v>
      </c>
      <c r="I4" s="26"/>
      <c r="J4" s="26"/>
      <c r="K4" s="14" t="s">
        <v>97</v>
      </c>
      <c r="L4" s="14" t="s">
        <v>98</v>
      </c>
      <c r="M4" s="14"/>
    </row>
    <row r="5" spans="1:14" ht="12.75" x14ac:dyDescent="0.2">
      <c r="A5" s="1">
        <v>45918.625523182869</v>
      </c>
      <c r="B5" s="8" t="s">
        <v>11</v>
      </c>
      <c r="C5" s="13">
        <v>4</v>
      </c>
      <c r="D5" s="14" t="s">
        <v>102</v>
      </c>
      <c r="E5" s="13">
        <v>0</v>
      </c>
      <c r="F5" s="13">
        <v>0</v>
      </c>
      <c r="G5" s="13">
        <v>39</v>
      </c>
      <c r="H5" s="14" t="s">
        <v>250</v>
      </c>
      <c r="I5" s="26"/>
      <c r="J5" s="26"/>
      <c r="K5" s="14" t="s">
        <v>103</v>
      </c>
      <c r="L5" s="14" t="s">
        <v>104</v>
      </c>
      <c r="M5" s="26"/>
    </row>
    <row r="6" spans="1:14" ht="12.75" x14ac:dyDescent="0.2">
      <c r="A6" s="2">
        <v>45918.762798310185</v>
      </c>
      <c r="B6" s="9" t="s">
        <v>16</v>
      </c>
      <c r="C6" s="13">
        <v>5</v>
      </c>
      <c r="D6" s="17" t="s">
        <v>112</v>
      </c>
      <c r="E6" s="13">
        <v>1</v>
      </c>
      <c r="F6" s="13">
        <v>18</v>
      </c>
      <c r="G6" s="13">
        <v>512</v>
      </c>
      <c r="H6" s="16" t="s">
        <v>266</v>
      </c>
      <c r="I6" s="14" t="s">
        <v>38</v>
      </c>
      <c r="J6" s="26"/>
      <c r="K6" s="14" t="s">
        <v>113</v>
      </c>
      <c r="L6" s="14" t="s">
        <v>20</v>
      </c>
      <c r="M6" s="14" t="s">
        <v>114</v>
      </c>
    </row>
    <row r="7" spans="1:14" ht="12.75" x14ac:dyDescent="0.2">
      <c r="A7" s="1">
        <v>45918.851156886572</v>
      </c>
      <c r="B7" s="8" t="s">
        <v>16</v>
      </c>
      <c r="C7" s="13">
        <v>6</v>
      </c>
      <c r="D7" s="14" t="s">
        <v>132</v>
      </c>
      <c r="E7" s="13">
        <v>1</v>
      </c>
      <c r="F7" s="13">
        <v>15</v>
      </c>
      <c r="G7" s="13">
        <v>100</v>
      </c>
      <c r="H7" s="14" t="s">
        <v>133</v>
      </c>
      <c r="I7" s="26"/>
      <c r="J7" s="26"/>
      <c r="K7" s="14" t="s">
        <v>134</v>
      </c>
      <c r="L7" s="14" t="s">
        <v>135</v>
      </c>
      <c r="M7" s="26"/>
    </row>
    <row r="8" spans="1:14" ht="12.75" x14ac:dyDescent="0.2">
      <c r="A8" s="2">
        <v>45918.911722847217</v>
      </c>
      <c r="B8" s="9" t="s">
        <v>11</v>
      </c>
      <c r="C8" s="13">
        <v>7</v>
      </c>
      <c r="D8" s="17" t="s">
        <v>139</v>
      </c>
      <c r="E8" s="13">
        <v>1</v>
      </c>
      <c r="F8" s="13">
        <v>15</v>
      </c>
      <c r="G8" s="13">
        <v>534</v>
      </c>
      <c r="H8" s="16" t="s">
        <v>262</v>
      </c>
      <c r="I8" s="26"/>
      <c r="J8" s="26"/>
      <c r="K8" s="14" t="s">
        <v>140</v>
      </c>
      <c r="L8" s="14" t="s">
        <v>20</v>
      </c>
      <c r="M8" s="26"/>
    </row>
    <row r="9" spans="1:14" ht="12.75" x14ac:dyDescent="0.2">
      <c r="A9" s="1">
        <v>45918.915032974532</v>
      </c>
      <c r="B9" s="8" t="s">
        <v>11</v>
      </c>
      <c r="C9" s="13">
        <v>8</v>
      </c>
      <c r="D9" s="14" t="s">
        <v>156</v>
      </c>
      <c r="E9" s="13">
        <v>1</v>
      </c>
      <c r="F9" s="13">
        <v>30</v>
      </c>
      <c r="G9" s="13">
        <v>167</v>
      </c>
      <c r="H9" s="14" t="s">
        <v>157</v>
      </c>
      <c r="I9" s="26"/>
      <c r="J9" s="26"/>
      <c r="K9" s="14" t="s">
        <v>158</v>
      </c>
      <c r="L9" s="14" t="s">
        <v>145</v>
      </c>
      <c r="M9" s="26"/>
    </row>
    <row r="10" spans="1:14" ht="12.75" x14ac:dyDescent="0.2">
      <c r="A10" s="1">
        <v>45919.313270312501</v>
      </c>
      <c r="B10" s="8" t="s">
        <v>46</v>
      </c>
      <c r="C10" s="13">
        <v>9</v>
      </c>
      <c r="D10" s="14" t="s">
        <v>166</v>
      </c>
      <c r="E10" s="13">
        <v>1</v>
      </c>
      <c r="F10" s="13">
        <v>30</v>
      </c>
      <c r="G10" s="13">
        <v>107</v>
      </c>
      <c r="H10" s="14" t="s">
        <v>167</v>
      </c>
      <c r="I10" s="26"/>
      <c r="J10" s="26"/>
      <c r="K10" s="14" t="s">
        <v>168</v>
      </c>
      <c r="L10" s="14" t="s">
        <v>135</v>
      </c>
      <c r="M10" s="26"/>
    </row>
    <row r="11" spans="1:14" ht="12.75" x14ac:dyDescent="0.2">
      <c r="A11" s="2">
        <v>45919.445797465276</v>
      </c>
      <c r="B11" s="9" t="s">
        <v>11</v>
      </c>
      <c r="C11" s="13">
        <v>10</v>
      </c>
      <c r="D11" s="14" t="s">
        <v>169</v>
      </c>
      <c r="E11" s="13">
        <v>1</v>
      </c>
      <c r="F11" s="13">
        <v>15</v>
      </c>
      <c r="G11" s="13">
        <v>69</v>
      </c>
      <c r="H11" s="14" t="s">
        <v>170</v>
      </c>
      <c r="I11" s="26"/>
      <c r="J11" s="26"/>
      <c r="K11" s="14" t="s">
        <v>171</v>
      </c>
      <c r="L11" s="14" t="s">
        <v>172</v>
      </c>
      <c r="M11" s="26"/>
    </row>
    <row r="12" spans="1:14" ht="12.75" x14ac:dyDescent="0.2">
      <c r="A12" s="1">
        <v>45916.417652349541</v>
      </c>
      <c r="B12" s="8" t="s">
        <v>16</v>
      </c>
      <c r="C12" s="13">
        <v>11</v>
      </c>
      <c r="D12" s="14" t="s">
        <v>182</v>
      </c>
      <c r="E12" s="13">
        <v>1</v>
      </c>
      <c r="F12" s="13">
        <v>15</v>
      </c>
      <c r="G12" s="13">
        <v>81</v>
      </c>
      <c r="H12" s="16" t="s">
        <v>183</v>
      </c>
      <c r="I12" s="26"/>
      <c r="J12" s="26"/>
      <c r="K12" s="14" t="s">
        <v>184</v>
      </c>
      <c r="L12" s="14" t="s">
        <v>155</v>
      </c>
      <c r="M12" s="26"/>
    </row>
    <row r="13" spans="1:14" ht="12.75" x14ac:dyDescent="0.2">
      <c r="A13" s="1">
        <v>45916.486801076389</v>
      </c>
      <c r="B13" s="8" t="s">
        <v>16</v>
      </c>
      <c r="C13" s="13">
        <v>12</v>
      </c>
      <c r="D13" s="14" t="s">
        <v>75</v>
      </c>
      <c r="E13" s="18">
        <v>1</v>
      </c>
      <c r="F13" s="18">
        <v>20</v>
      </c>
      <c r="G13" s="18">
        <v>33</v>
      </c>
      <c r="H13" s="16" t="s">
        <v>183</v>
      </c>
      <c r="I13" s="26"/>
      <c r="J13" s="26"/>
      <c r="K13" s="14" t="s">
        <v>76</v>
      </c>
      <c r="L13" s="14" t="s">
        <v>77</v>
      </c>
      <c r="M13" s="14"/>
    </row>
    <row r="14" spans="1:14" ht="12.75" x14ac:dyDescent="0.2">
      <c r="A14" s="1">
        <v>45918.387331261576</v>
      </c>
      <c r="B14" s="8" t="s">
        <v>46</v>
      </c>
      <c r="C14" s="13">
        <v>13</v>
      </c>
      <c r="D14" s="14" t="s">
        <v>25</v>
      </c>
      <c r="E14" s="13">
        <v>2</v>
      </c>
      <c r="F14" s="13">
        <v>31</v>
      </c>
      <c r="G14" s="13">
        <v>175</v>
      </c>
      <c r="H14" s="14" t="s">
        <v>26</v>
      </c>
      <c r="I14" s="14"/>
      <c r="J14" s="14"/>
      <c r="K14" s="14" t="s">
        <v>27</v>
      </c>
      <c r="L14" s="14" t="s">
        <v>20</v>
      </c>
      <c r="M14" s="14"/>
    </row>
    <row r="15" spans="1:14" ht="12.75" x14ac:dyDescent="0.2">
      <c r="A15" s="2">
        <v>45918.444817199073</v>
      </c>
      <c r="B15" s="9" t="s">
        <v>46</v>
      </c>
      <c r="C15" s="13">
        <v>14</v>
      </c>
      <c r="D15" s="14" t="s">
        <v>33</v>
      </c>
      <c r="E15" s="13">
        <v>2</v>
      </c>
      <c r="F15" s="13">
        <v>45</v>
      </c>
      <c r="G15" s="13">
        <v>112</v>
      </c>
      <c r="H15" s="62" t="s">
        <v>18</v>
      </c>
      <c r="I15" s="14"/>
      <c r="J15" s="14"/>
      <c r="K15" s="14" t="s">
        <v>34</v>
      </c>
      <c r="L15" s="14" t="s">
        <v>15</v>
      </c>
      <c r="M15" s="14"/>
    </row>
    <row r="16" spans="1:14" ht="12.75" x14ac:dyDescent="0.2">
      <c r="A16" s="2">
        <v>45918.60774994213</v>
      </c>
      <c r="B16" s="9" t="s">
        <v>46</v>
      </c>
      <c r="C16" s="13">
        <v>15</v>
      </c>
      <c r="D16" s="14" t="s">
        <v>109</v>
      </c>
      <c r="E16" s="13">
        <v>2</v>
      </c>
      <c r="F16" s="13">
        <v>32</v>
      </c>
      <c r="G16" s="13">
        <v>620</v>
      </c>
      <c r="H16" s="62" t="s">
        <v>110</v>
      </c>
      <c r="I16" s="26"/>
      <c r="J16" s="26"/>
      <c r="K16" s="14" t="s">
        <v>111</v>
      </c>
      <c r="L16" s="14" t="s">
        <v>30</v>
      </c>
      <c r="M16" s="26"/>
    </row>
    <row r="17" spans="1:13" ht="12.75" x14ac:dyDescent="0.2">
      <c r="A17" s="1">
        <v>45918.842952581021</v>
      </c>
      <c r="B17" s="8" t="s">
        <v>16</v>
      </c>
      <c r="C17" s="13">
        <v>16</v>
      </c>
      <c r="D17" s="14" t="s">
        <v>136</v>
      </c>
      <c r="E17" s="13">
        <v>4</v>
      </c>
      <c r="F17" s="13">
        <v>60</v>
      </c>
      <c r="G17" s="13">
        <v>674</v>
      </c>
      <c r="H17" s="14" t="s">
        <v>265</v>
      </c>
      <c r="I17" s="26"/>
      <c r="J17" s="26"/>
      <c r="K17" s="14" t="s">
        <v>138</v>
      </c>
      <c r="L17" s="14" t="s">
        <v>126</v>
      </c>
      <c r="M17" s="26"/>
    </row>
    <row r="18" spans="1:13" ht="12.75" x14ac:dyDescent="0.2">
      <c r="A18" s="2">
        <v>45918.846472743055</v>
      </c>
      <c r="B18" s="9" t="s">
        <v>46</v>
      </c>
      <c r="C18" s="13">
        <v>17</v>
      </c>
      <c r="D18" s="17" t="s">
        <v>173</v>
      </c>
      <c r="E18" s="13">
        <v>1</v>
      </c>
      <c r="F18" s="13">
        <v>20</v>
      </c>
      <c r="G18" s="13">
        <v>436</v>
      </c>
      <c r="H18" s="17" t="s">
        <v>254</v>
      </c>
      <c r="I18" s="26"/>
      <c r="J18" s="26"/>
      <c r="K18" s="14" t="s">
        <v>174</v>
      </c>
      <c r="L18" s="14" t="s">
        <v>126</v>
      </c>
      <c r="M18" s="26"/>
    </row>
    <row r="19" spans="1:13" ht="12.75" x14ac:dyDescent="0.2">
      <c r="A19" s="1">
        <v>45918.934425729167</v>
      </c>
      <c r="B19" s="8" t="s">
        <v>11</v>
      </c>
      <c r="C19" s="13">
        <v>18</v>
      </c>
      <c r="D19" s="14" t="s">
        <v>175</v>
      </c>
      <c r="E19" s="13">
        <v>2</v>
      </c>
      <c r="F19" s="13">
        <v>24</v>
      </c>
      <c r="G19" s="13">
        <v>104</v>
      </c>
      <c r="H19" s="14" t="s">
        <v>176</v>
      </c>
      <c r="I19" s="26"/>
      <c r="J19" s="26"/>
      <c r="K19" s="14" t="s">
        <v>177</v>
      </c>
      <c r="L19" s="14" t="s">
        <v>15</v>
      </c>
      <c r="M19" s="26"/>
    </row>
    <row r="20" spans="1:13" ht="12.75" x14ac:dyDescent="0.2">
      <c r="A20" s="2">
        <v>45919.400420798615</v>
      </c>
      <c r="B20" s="9" t="s">
        <v>16</v>
      </c>
      <c r="C20" s="13">
        <v>19</v>
      </c>
      <c r="D20" s="14" t="s">
        <v>47</v>
      </c>
      <c r="E20" s="18">
        <v>1</v>
      </c>
      <c r="F20" s="18">
        <v>20</v>
      </c>
      <c r="G20" s="18">
        <v>183</v>
      </c>
      <c r="H20" s="16" t="s">
        <v>248</v>
      </c>
      <c r="I20" s="26"/>
      <c r="J20" s="26"/>
      <c r="K20" s="14" t="s">
        <v>48</v>
      </c>
      <c r="L20" s="14" t="s">
        <v>30</v>
      </c>
      <c r="M20" s="14"/>
    </row>
    <row r="21" spans="1:13" ht="12.75" x14ac:dyDescent="0.2">
      <c r="A21" s="1">
        <v>45919.404417083337</v>
      </c>
      <c r="B21" s="8" t="s">
        <v>16</v>
      </c>
      <c r="C21" s="13">
        <v>20</v>
      </c>
      <c r="D21" s="14" t="s">
        <v>31</v>
      </c>
      <c r="E21" s="19">
        <v>2</v>
      </c>
      <c r="F21" s="19">
        <v>26</v>
      </c>
      <c r="G21" s="19">
        <v>70</v>
      </c>
      <c r="H21" s="20" t="s">
        <v>71</v>
      </c>
      <c r="I21" s="26"/>
      <c r="J21" s="26"/>
      <c r="K21" s="14" t="s">
        <v>32</v>
      </c>
      <c r="L21" s="14" t="s">
        <v>15</v>
      </c>
      <c r="M21" s="14"/>
    </row>
    <row r="22" spans="1:13" ht="12.75" x14ac:dyDescent="0.2">
      <c r="A22" s="2">
        <v>45919.406116886574</v>
      </c>
      <c r="B22" s="9" t="s">
        <v>11</v>
      </c>
      <c r="C22" s="13">
        <v>21</v>
      </c>
      <c r="D22" s="14" t="s">
        <v>49</v>
      </c>
      <c r="E22" s="13">
        <v>3</v>
      </c>
      <c r="F22" s="13">
        <v>36</v>
      </c>
      <c r="G22" s="13">
        <v>724</v>
      </c>
      <c r="H22" s="14" t="s">
        <v>263</v>
      </c>
      <c r="I22" s="26"/>
      <c r="J22" s="26"/>
      <c r="K22" s="14" t="s">
        <v>51</v>
      </c>
      <c r="L22" s="14" t="s">
        <v>20</v>
      </c>
      <c r="M22" s="14"/>
    </row>
    <row r="23" spans="1:13" ht="12.75" x14ac:dyDescent="0.2">
      <c r="A23" s="1">
        <v>45919.447184745368</v>
      </c>
      <c r="B23" s="8" t="s">
        <v>46</v>
      </c>
      <c r="C23" s="13">
        <v>22</v>
      </c>
      <c r="D23" s="14" t="s">
        <v>78</v>
      </c>
      <c r="E23" s="13">
        <v>3</v>
      </c>
      <c r="F23" s="13">
        <v>36</v>
      </c>
      <c r="G23" s="13">
        <v>68</v>
      </c>
      <c r="H23" s="14" t="s">
        <v>79</v>
      </c>
      <c r="I23" s="26"/>
      <c r="J23" s="26"/>
      <c r="K23" s="14" t="s">
        <v>80</v>
      </c>
      <c r="L23" s="14" t="s">
        <v>81</v>
      </c>
      <c r="M23" s="14"/>
    </row>
    <row r="24" spans="1:13" ht="12.75" x14ac:dyDescent="0.2">
      <c r="A24" s="1">
        <v>45916.41252597222</v>
      </c>
      <c r="B24" s="8" t="s">
        <v>11</v>
      </c>
      <c r="C24" s="13">
        <v>23</v>
      </c>
      <c r="D24" s="14" t="s">
        <v>152</v>
      </c>
      <c r="E24" s="13">
        <v>3</v>
      </c>
      <c r="F24" s="13">
        <v>50</v>
      </c>
      <c r="G24" s="13">
        <v>180</v>
      </c>
      <c r="H24" s="14" t="s">
        <v>153</v>
      </c>
      <c r="I24" s="26"/>
      <c r="J24" s="26"/>
      <c r="K24" s="14" t="s">
        <v>154</v>
      </c>
      <c r="L24" s="14" t="s">
        <v>155</v>
      </c>
      <c r="M24" s="26"/>
    </row>
    <row r="25" spans="1:13" ht="12.75" x14ac:dyDescent="0.2">
      <c r="A25" s="2">
        <v>45918.391853923611</v>
      </c>
      <c r="B25" s="9" t="s">
        <v>11</v>
      </c>
      <c r="C25" s="13">
        <v>24</v>
      </c>
      <c r="D25" s="14" t="s">
        <v>88</v>
      </c>
      <c r="E25" s="13">
        <v>4</v>
      </c>
      <c r="F25" s="13">
        <v>15</v>
      </c>
      <c r="G25" s="13">
        <v>626</v>
      </c>
      <c r="H25" s="14" t="s">
        <v>264</v>
      </c>
      <c r="I25" s="26"/>
      <c r="J25" s="26"/>
      <c r="K25" s="14" t="s">
        <v>90</v>
      </c>
      <c r="L25" s="14" t="s">
        <v>91</v>
      </c>
      <c r="M25" s="14"/>
    </row>
    <row r="26" spans="1:13" ht="12.75" x14ac:dyDescent="0.2">
      <c r="A26" s="2">
        <v>45918.845547824079</v>
      </c>
      <c r="B26" s="9" t="s">
        <v>11</v>
      </c>
      <c r="C26" s="13">
        <v>25</v>
      </c>
      <c r="D26" s="14" t="s">
        <v>143</v>
      </c>
      <c r="E26" s="13">
        <v>4</v>
      </c>
      <c r="F26" s="13">
        <v>68</v>
      </c>
      <c r="G26" s="13">
        <v>180</v>
      </c>
      <c r="H26" s="16" t="s">
        <v>251</v>
      </c>
      <c r="I26" s="26"/>
      <c r="J26" s="26"/>
      <c r="K26" s="14" t="s">
        <v>144</v>
      </c>
      <c r="L26" s="14" t="s">
        <v>145</v>
      </c>
      <c r="M26" s="26"/>
    </row>
    <row r="27" spans="1:13" ht="12.75" x14ac:dyDescent="0.2">
      <c r="A27" s="1">
        <v>45919.419247592596</v>
      </c>
      <c r="B27" s="8" t="s">
        <v>46</v>
      </c>
      <c r="C27" s="13">
        <v>26</v>
      </c>
      <c r="D27" s="17" t="s">
        <v>115</v>
      </c>
      <c r="E27" s="13">
        <v>2</v>
      </c>
      <c r="F27" s="13">
        <v>40</v>
      </c>
      <c r="G27" s="13">
        <v>98</v>
      </c>
      <c r="H27" s="16" t="s">
        <v>255</v>
      </c>
      <c r="I27" s="26"/>
      <c r="J27" s="26"/>
      <c r="K27" s="14" t="s">
        <v>159</v>
      </c>
      <c r="L27" s="14" t="s">
        <v>15</v>
      </c>
      <c r="M27" s="26"/>
    </row>
    <row r="28" spans="1:13" ht="12.75" x14ac:dyDescent="0.2">
      <c r="A28" s="1">
        <v>45917.692936898151</v>
      </c>
      <c r="B28" s="8" t="s">
        <v>46</v>
      </c>
      <c r="C28" s="13">
        <v>27</v>
      </c>
      <c r="D28" s="14" t="s">
        <v>52</v>
      </c>
      <c r="E28" s="13">
        <v>6</v>
      </c>
      <c r="F28" s="13">
        <v>72</v>
      </c>
      <c r="G28" s="13">
        <v>149</v>
      </c>
      <c r="H28" s="14" t="s">
        <v>53</v>
      </c>
      <c r="I28" s="26"/>
      <c r="J28" s="26"/>
      <c r="K28" s="14" t="s">
        <v>54</v>
      </c>
      <c r="L28" s="14" t="s">
        <v>55</v>
      </c>
      <c r="M28" s="14"/>
    </row>
    <row r="29" spans="1:13" ht="12.75" x14ac:dyDescent="0.2">
      <c r="A29" s="2">
        <v>45918.416950694445</v>
      </c>
      <c r="B29" s="9" t="s">
        <v>11</v>
      </c>
      <c r="C29" s="13">
        <v>28</v>
      </c>
      <c r="D29" s="14" t="s">
        <v>56</v>
      </c>
      <c r="E29" s="13">
        <v>7</v>
      </c>
      <c r="F29" s="13">
        <v>150</v>
      </c>
      <c r="G29" s="13"/>
      <c r="H29" s="14" t="s">
        <v>57</v>
      </c>
      <c r="I29" s="26"/>
      <c r="J29" s="26"/>
      <c r="K29" s="14" t="s">
        <v>58</v>
      </c>
      <c r="L29" s="14" t="s">
        <v>59</v>
      </c>
      <c r="M29" s="14"/>
    </row>
    <row r="30" spans="1:13" ht="12.75" x14ac:dyDescent="0.2">
      <c r="A30" s="1">
        <v>45918.639522627316</v>
      </c>
      <c r="B30" s="8" t="s">
        <v>16</v>
      </c>
    </row>
    <row r="31" spans="1:13" ht="12.75" x14ac:dyDescent="0.2">
      <c r="A31" s="2">
        <v>45918.842734270831</v>
      </c>
      <c r="B31" s="9" t="s">
        <v>46</v>
      </c>
    </row>
    <row r="32" spans="1:13" ht="12.75" x14ac:dyDescent="0.2">
      <c r="A32" s="1">
        <v>45918.927951388891</v>
      </c>
      <c r="B32" s="8" t="s">
        <v>16</v>
      </c>
    </row>
    <row r="33" spans="1:13" ht="12.75" x14ac:dyDescent="0.2">
      <c r="A33" s="2">
        <v>45918.394223738425</v>
      </c>
      <c r="B33" s="9" t="s">
        <v>11</v>
      </c>
    </row>
    <row r="34" spans="1:13" ht="12.75" x14ac:dyDescent="0.2">
      <c r="A34" s="1">
        <v>45918.421014583335</v>
      </c>
      <c r="B34" s="8" t="s">
        <v>46</v>
      </c>
    </row>
    <row r="35" spans="1:13" ht="12.75" x14ac:dyDescent="0.2">
      <c r="A35" s="2">
        <v>45918.439024444444</v>
      </c>
      <c r="B35" s="9" t="s">
        <v>46</v>
      </c>
    </row>
    <row r="36" spans="1:13" ht="12.75" x14ac:dyDescent="0.2">
      <c r="A36" s="1">
        <v>45918.451685011576</v>
      </c>
      <c r="B36" s="8" t="s">
        <v>16</v>
      </c>
    </row>
    <row r="37" spans="1:13" ht="12.75" x14ac:dyDescent="0.2">
      <c r="A37" s="2">
        <v>45918.891950694444</v>
      </c>
      <c r="B37" s="9" t="s">
        <v>46</v>
      </c>
    </row>
    <row r="38" spans="1:13" ht="12.75" x14ac:dyDescent="0.2">
      <c r="A38" s="1">
        <v>45918.940966400463</v>
      </c>
      <c r="B38" s="8" t="s">
        <v>46</v>
      </c>
    </row>
    <row r="39" spans="1:13" ht="12.75" x14ac:dyDescent="0.2">
      <c r="A39" s="2">
        <v>45918.812139120375</v>
      </c>
      <c r="B39" s="9" t="s">
        <v>11</v>
      </c>
    </row>
    <row r="40" spans="1:13" ht="12.75" x14ac:dyDescent="0.2">
      <c r="A40" s="1">
        <v>45918.38134118056</v>
      </c>
      <c r="B40" s="8" t="s">
        <v>11</v>
      </c>
    </row>
    <row r="41" spans="1:13" ht="12.75" x14ac:dyDescent="0.2">
      <c r="A41" s="1">
        <v>45918.423607997684</v>
      </c>
      <c r="B41" s="8" t="s">
        <v>11</v>
      </c>
    </row>
    <row r="42" spans="1:13" ht="12.75" x14ac:dyDescent="0.2">
      <c r="A42" s="2">
        <v>45916.433113333333</v>
      </c>
      <c r="B42" s="9" t="s">
        <v>11</v>
      </c>
    </row>
    <row r="43" spans="1:13" ht="12.75" x14ac:dyDescent="0.2">
      <c r="A43" s="3">
        <v>45918.383429224537</v>
      </c>
      <c r="B43" s="10" t="s">
        <v>11</v>
      </c>
    </row>
    <row r="44" spans="1:13" ht="15.75" customHeight="1" x14ac:dyDescent="0.2">
      <c r="C44" s="43"/>
      <c r="D44" s="44" t="s">
        <v>252</v>
      </c>
      <c r="E44" s="45"/>
      <c r="F44" s="45"/>
      <c r="G44" s="43" t="e">
        <f>_xlfn.XLOOKUP('[1]Bilgisayarı olan okullarımız'!$L$4,'[1]Bilgisayarı olan okullarımız'!$H$4:$H$49,'[1]Bilgisayarı olan okullarımız'!$L$4:$L$49)</f>
        <v>#N/A</v>
      </c>
      <c r="H44" s="46"/>
      <c r="I44" s="46"/>
      <c r="J44" s="46"/>
      <c r="K44" s="46"/>
      <c r="L44" s="46"/>
      <c r="M44" s="46"/>
    </row>
    <row r="45" spans="1:13" ht="15.75" customHeight="1" x14ac:dyDescent="0.2">
      <c r="C45" s="43"/>
      <c r="D45" s="44" t="s">
        <v>253</v>
      </c>
      <c r="E45" s="45"/>
      <c r="F45" s="45"/>
      <c r="G45" s="43" t="e">
        <f>_xlfn.XLOOKUP('[1]Bilgisayarı olan okullarımız'!$L$4,'[1]Bilgisayarı olan okullarımız'!$H$4:$H$49,'[1]Bilgisayarı olan okullarımız'!$L$4:$L$49)</f>
        <v>#N/A</v>
      </c>
      <c r="H45" s="46"/>
      <c r="I45" s="46"/>
      <c r="J45" s="46"/>
      <c r="K45" s="46"/>
      <c r="L45" s="46"/>
      <c r="M45" s="46"/>
    </row>
    <row r="46" spans="1:13" ht="15.75" customHeight="1" x14ac:dyDescent="0.2">
      <c r="D46" s="21" t="s">
        <v>194</v>
      </c>
      <c r="E46" s="4">
        <f>SUM(E2:E45)-32</f>
        <v>27</v>
      </c>
      <c r="F46">
        <f>SUM(F2:F45)-784</f>
        <v>138</v>
      </c>
    </row>
    <row r="54" spans="4:18" ht="15.75" customHeight="1" thickBot="1" x14ac:dyDescent="0.25">
      <c r="D54" s="48" t="s">
        <v>120</v>
      </c>
    </row>
    <row r="55" spans="4:18" ht="15.75" customHeight="1" thickBot="1" x14ac:dyDescent="0.25">
      <c r="D55" s="54" t="s">
        <v>12</v>
      </c>
      <c r="E55" s="47"/>
      <c r="F55" s="48"/>
      <c r="G55" s="48"/>
      <c r="H55" s="48"/>
      <c r="I55" s="48" t="s">
        <v>256</v>
      </c>
      <c r="J55" s="48" t="s">
        <v>257</v>
      </c>
      <c r="L55" s="49"/>
      <c r="M55" s="49"/>
      <c r="N55" s="47"/>
      <c r="O55" s="50"/>
      <c r="P55" s="51"/>
      <c r="Q55" s="51"/>
      <c r="R55" s="51"/>
    </row>
    <row r="56" spans="4:18" ht="15.75" customHeight="1" thickBot="1" x14ac:dyDescent="0.25">
      <c r="D56" s="48" t="s">
        <v>130</v>
      </c>
      <c r="E56" s="53"/>
      <c r="F56" s="54"/>
      <c r="G56" s="54"/>
      <c r="H56" s="54"/>
      <c r="I56" s="54" t="s">
        <v>256</v>
      </c>
      <c r="J56" s="54" t="s">
        <v>257</v>
      </c>
      <c r="L56" s="55"/>
      <c r="M56" s="55"/>
      <c r="N56" s="53"/>
      <c r="O56" s="56"/>
      <c r="P56" s="57"/>
      <c r="Q56" s="57"/>
      <c r="R56" s="57"/>
    </row>
    <row r="57" spans="4:18" ht="15.75" customHeight="1" thickBot="1" x14ac:dyDescent="0.25">
      <c r="D57" s="54" t="s">
        <v>43</v>
      </c>
      <c r="E57" s="47"/>
      <c r="F57" s="48"/>
      <c r="G57" s="48"/>
      <c r="H57" s="48"/>
      <c r="I57" s="48" t="s">
        <v>256</v>
      </c>
      <c r="J57" s="48" t="s">
        <v>257</v>
      </c>
      <c r="L57" s="49"/>
      <c r="M57" s="49"/>
      <c r="N57" s="47"/>
      <c r="O57" s="47"/>
      <c r="P57" s="51"/>
      <c r="Q57" s="51"/>
      <c r="R57" s="51"/>
    </row>
    <row r="58" spans="4:18" ht="15.75" customHeight="1" thickBot="1" x14ac:dyDescent="0.25">
      <c r="D58" s="48" t="s">
        <v>127</v>
      </c>
      <c r="E58" s="53"/>
      <c r="F58" s="54"/>
      <c r="G58" s="54"/>
      <c r="H58" s="54"/>
      <c r="I58" s="54" t="s">
        <v>256</v>
      </c>
      <c r="J58" s="54" t="s">
        <v>257</v>
      </c>
      <c r="L58" s="55"/>
      <c r="M58" s="55"/>
      <c r="N58" s="53"/>
      <c r="O58" s="53"/>
      <c r="P58" s="57"/>
      <c r="Q58" s="57"/>
      <c r="R58" s="57"/>
    </row>
    <row r="59" spans="4:18" ht="15.75" customHeight="1" thickBot="1" x14ac:dyDescent="0.25">
      <c r="D59" s="54" t="s">
        <v>258</v>
      </c>
      <c r="E59" s="47"/>
      <c r="F59" s="48"/>
      <c r="G59" s="48"/>
      <c r="H59" s="48"/>
      <c r="I59" s="48" t="s">
        <v>256</v>
      </c>
      <c r="J59" s="48" t="s">
        <v>257</v>
      </c>
      <c r="L59" s="49"/>
      <c r="M59" s="49"/>
      <c r="N59" s="47"/>
      <c r="O59" s="47"/>
      <c r="P59" s="51"/>
      <c r="Q59" s="51"/>
      <c r="R59" s="51"/>
    </row>
    <row r="60" spans="4:18" ht="15.75" customHeight="1" thickBot="1" x14ac:dyDescent="0.25">
      <c r="D60" s="48" t="s">
        <v>127</v>
      </c>
      <c r="E60" s="53"/>
      <c r="F60" s="54"/>
      <c r="G60" s="54"/>
      <c r="H60" s="54"/>
      <c r="I60" s="54" t="s">
        <v>256</v>
      </c>
      <c r="J60" s="54" t="s">
        <v>257</v>
      </c>
      <c r="L60" s="55"/>
      <c r="M60" s="55"/>
      <c r="N60" s="53"/>
      <c r="O60" s="56"/>
      <c r="P60" s="57"/>
      <c r="Q60" s="57"/>
      <c r="R60" s="57"/>
    </row>
    <row r="61" spans="4:18" ht="15.75" customHeight="1" thickBot="1" x14ac:dyDescent="0.25">
      <c r="D61" s="54" t="s">
        <v>127</v>
      </c>
      <c r="E61" s="47"/>
      <c r="F61" s="48"/>
      <c r="G61" s="48"/>
      <c r="H61" s="48"/>
      <c r="I61" s="48" t="s">
        <v>256</v>
      </c>
      <c r="J61" s="48" t="s">
        <v>257</v>
      </c>
      <c r="L61" s="49"/>
      <c r="M61" s="49"/>
      <c r="N61" s="47"/>
      <c r="O61" s="50"/>
      <c r="P61" s="51"/>
      <c r="Q61" s="51"/>
      <c r="R61" s="51"/>
    </row>
    <row r="62" spans="4:18" ht="15.75" customHeight="1" thickBot="1" x14ac:dyDescent="0.25">
      <c r="D62" s="48" t="s">
        <v>127</v>
      </c>
      <c r="E62" s="53"/>
      <c r="F62" s="54"/>
      <c r="G62" s="54"/>
      <c r="H62" s="54"/>
      <c r="I62" s="54" t="s">
        <v>256</v>
      </c>
      <c r="J62" s="54" t="s">
        <v>257</v>
      </c>
      <c r="L62" s="55"/>
      <c r="M62" s="55"/>
      <c r="N62" s="53"/>
      <c r="O62" s="53"/>
      <c r="P62" s="57"/>
      <c r="Q62" s="57"/>
      <c r="R62" s="57"/>
    </row>
    <row r="63" spans="4:18" ht="15.75" customHeight="1" thickBot="1" x14ac:dyDescent="0.25">
      <c r="D63" s="54" t="s">
        <v>127</v>
      </c>
      <c r="E63" s="47"/>
      <c r="F63" s="48"/>
      <c r="G63" s="48"/>
      <c r="H63" s="48"/>
      <c r="I63" s="48" t="s">
        <v>256</v>
      </c>
      <c r="J63" s="48" t="s">
        <v>257</v>
      </c>
      <c r="L63" s="49"/>
      <c r="M63" s="49"/>
      <c r="N63" s="47"/>
      <c r="O63" s="47"/>
      <c r="P63" s="51"/>
      <c r="Q63" s="51"/>
      <c r="R63" s="51"/>
    </row>
    <row r="64" spans="4:18" ht="15.75" customHeight="1" thickBot="1" x14ac:dyDescent="0.25">
      <c r="D64" s="48" t="s">
        <v>127</v>
      </c>
      <c r="E64" s="53"/>
      <c r="F64" s="54"/>
      <c r="G64" s="54"/>
      <c r="H64" s="54"/>
      <c r="I64" s="54" t="s">
        <v>256</v>
      </c>
      <c r="J64" s="54" t="s">
        <v>257</v>
      </c>
      <c r="L64" s="55"/>
      <c r="M64" s="55"/>
      <c r="N64" s="53"/>
      <c r="O64" s="56"/>
      <c r="P64" s="57"/>
      <c r="Q64" s="57"/>
      <c r="R64" s="57"/>
    </row>
    <row r="65" spans="4:18" ht="15.75" customHeight="1" thickBot="1" x14ac:dyDescent="0.25">
      <c r="D65" s="54" t="s">
        <v>127</v>
      </c>
      <c r="E65" s="47"/>
      <c r="F65" s="48"/>
      <c r="G65" s="48"/>
      <c r="H65" s="48"/>
      <c r="I65" s="48" t="s">
        <v>256</v>
      </c>
      <c r="J65" s="48" t="s">
        <v>257</v>
      </c>
      <c r="L65" s="49"/>
      <c r="M65" s="49"/>
      <c r="N65" s="47"/>
      <c r="O65" s="50"/>
      <c r="P65" s="51"/>
      <c r="Q65" s="51"/>
      <c r="R65" s="51"/>
    </row>
    <row r="66" spans="4:18" ht="15.75" customHeight="1" thickBot="1" x14ac:dyDescent="0.25">
      <c r="D66" s="48" t="s">
        <v>21</v>
      </c>
      <c r="E66" s="53"/>
      <c r="F66" s="54"/>
      <c r="G66" s="54"/>
      <c r="H66" s="54"/>
      <c r="I66" s="54" t="s">
        <v>256</v>
      </c>
      <c r="J66" s="54" t="s">
        <v>257</v>
      </c>
      <c r="L66" s="55"/>
      <c r="M66" s="55"/>
      <c r="N66" s="53"/>
      <c r="O66" s="56"/>
      <c r="P66" s="57"/>
      <c r="Q66" s="57"/>
      <c r="R66" s="57"/>
    </row>
    <row r="67" spans="4:18" ht="15.75" customHeight="1" thickBot="1" x14ac:dyDescent="0.25">
      <c r="D67" s="54" t="s">
        <v>259</v>
      </c>
      <c r="E67" s="47"/>
      <c r="F67" s="48"/>
      <c r="G67" s="48"/>
      <c r="H67" s="48"/>
      <c r="I67" s="48" t="s">
        <v>256</v>
      </c>
      <c r="J67" s="48" t="s">
        <v>257</v>
      </c>
      <c r="L67" s="49"/>
      <c r="M67" s="49"/>
      <c r="N67" s="47"/>
      <c r="O67" s="47"/>
      <c r="P67" s="51"/>
      <c r="Q67" s="51"/>
      <c r="R67" s="51"/>
    </row>
    <row r="68" spans="4:18" ht="15.75" customHeight="1" thickBot="1" x14ac:dyDescent="0.25">
      <c r="D68" s="48" t="s">
        <v>120</v>
      </c>
      <c r="E68" s="53"/>
      <c r="F68" s="54"/>
      <c r="G68" s="54"/>
      <c r="H68" s="54"/>
      <c r="I68" s="54" t="s">
        <v>256</v>
      </c>
      <c r="J68" s="54" t="s">
        <v>257</v>
      </c>
      <c r="L68" s="55"/>
      <c r="M68" s="55"/>
      <c r="N68" s="53"/>
      <c r="O68" s="53"/>
      <c r="P68" s="57"/>
      <c r="Q68" s="57"/>
      <c r="R68" s="57"/>
    </row>
    <row r="69" spans="4:18" ht="15.75" customHeight="1" thickBot="1" x14ac:dyDescent="0.25">
      <c r="D69" s="54" t="s">
        <v>130</v>
      </c>
      <c r="E69" s="47"/>
      <c r="F69" s="48"/>
      <c r="G69" s="48"/>
      <c r="H69" s="48"/>
      <c r="I69" s="48" t="s">
        <v>256</v>
      </c>
      <c r="J69" s="48" t="s">
        <v>257</v>
      </c>
      <c r="L69" s="49"/>
      <c r="M69" s="49"/>
      <c r="N69" s="47"/>
      <c r="O69" s="50"/>
      <c r="P69" s="51"/>
      <c r="Q69" s="51"/>
      <c r="R69" s="51"/>
    </row>
    <row r="70" spans="4:18" ht="15.75" customHeight="1" thickBot="1" x14ac:dyDescent="0.25">
      <c r="D70" s="48" t="s">
        <v>120</v>
      </c>
      <c r="E70" s="53"/>
      <c r="F70" s="54"/>
      <c r="G70" s="54"/>
      <c r="H70" s="54"/>
      <c r="I70" s="54" t="s">
        <v>256</v>
      </c>
      <c r="J70" s="54" t="s">
        <v>257</v>
      </c>
      <c r="L70" s="55"/>
      <c r="M70" s="55"/>
      <c r="N70" s="53"/>
      <c r="O70" s="56"/>
      <c r="P70" s="57"/>
      <c r="Q70" s="57"/>
      <c r="R70" s="57"/>
    </row>
    <row r="71" spans="4:18" ht="15.75" customHeight="1" thickBot="1" x14ac:dyDescent="0.25">
      <c r="D71" s="54" t="s">
        <v>130</v>
      </c>
      <c r="E71" s="47"/>
      <c r="F71" s="48"/>
      <c r="G71" s="48"/>
      <c r="H71" s="48"/>
      <c r="I71" s="48" t="s">
        <v>256</v>
      </c>
      <c r="J71" s="48" t="s">
        <v>257</v>
      </c>
      <c r="L71" s="49"/>
      <c r="M71" s="49"/>
      <c r="N71" s="47"/>
      <c r="O71" s="47"/>
      <c r="P71" s="51"/>
      <c r="Q71" s="51"/>
      <c r="R71" s="51"/>
    </row>
    <row r="72" spans="4:18" ht="15.75" customHeight="1" thickBot="1" x14ac:dyDescent="0.25">
      <c r="D72" s="59"/>
      <c r="E72" s="53"/>
      <c r="F72" s="54"/>
      <c r="G72" s="54"/>
      <c r="H72" s="54"/>
      <c r="I72" s="54" t="s">
        <v>256</v>
      </c>
      <c r="J72" s="54" t="s">
        <v>257</v>
      </c>
      <c r="L72" s="55"/>
      <c r="M72" s="55"/>
      <c r="N72" s="53"/>
      <c r="O72" s="56"/>
      <c r="P72" s="57"/>
      <c r="Q72" s="57"/>
      <c r="R72" s="57"/>
    </row>
    <row r="73" spans="4:18" ht="15.75" customHeight="1" thickBot="1" x14ac:dyDescent="0.25">
      <c r="D73" s="54"/>
      <c r="E73" s="58"/>
      <c r="F73" s="59"/>
      <c r="G73" s="59"/>
      <c r="H73" s="59"/>
      <c r="I73" s="59" t="s">
        <v>260</v>
      </c>
      <c r="J73" s="59" t="s">
        <v>261</v>
      </c>
      <c r="L73" s="60"/>
      <c r="M73" s="60"/>
      <c r="N73" s="58"/>
      <c r="O73" s="58"/>
      <c r="P73" s="61"/>
      <c r="Q73" s="61"/>
      <c r="R73" s="61"/>
    </row>
    <row r="74" spans="4:18" ht="15.75" customHeight="1" thickBot="1" x14ac:dyDescent="0.25">
      <c r="D74" s="52"/>
      <c r="E74" s="53"/>
      <c r="F74" s="54"/>
      <c r="G74" s="54"/>
      <c r="H74" s="54"/>
      <c r="I74" s="54" t="s">
        <v>260</v>
      </c>
      <c r="J74" s="54" t="s">
        <v>261</v>
      </c>
      <c r="L74" s="55"/>
      <c r="M74" s="55"/>
      <c r="N74" s="53"/>
      <c r="O74" s="53"/>
      <c r="P74" s="57"/>
      <c r="Q74" s="57"/>
      <c r="R74" s="57"/>
    </row>
    <row r="75" spans="4:18" ht="15.75" customHeight="1" x14ac:dyDescent="0.2">
      <c r="E75"/>
    </row>
  </sheetData>
  <conditionalFormatting sqref="D44:D45 D2:D29">
    <cfRule type="duplicateValues" dxfId="11" priority="2"/>
  </conditionalFormatting>
  <conditionalFormatting sqref="D44:D53 D2:D29">
    <cfRule type="duplicateValues" dxfId="10" priority="3"/>
  </conditionalFormatting>
  <conditionalFormatting sqref="D44:D71 D2:D29">
    <cfRule type="duplicateValues" dxfId="9" priority="1"/>
  </conditionalFormatting>
  <pageMargins left="0.35" right="0.12" top="0.75" bottom="0.12" header="0.82" footer="0.3"/>
  <pageSetup paperSize="9" scale="64" orientation="landscape" r:id="rId1"/>
  <colBreaks count="1" manualBreakCount="1">
    <brk id="8" max="29" man="1"/>
  </col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9EDD-65DC-46AC-8724-29BCE9044749}">
  <sheetPr>
    <outlinePr summaryBelow="0" summaryRight="0"/>
    <pageSetUpPr fitToPage="1"/>
  </sheetPr>
  <dimension ref="A1:S68"/>
  <sheetViews>
    <sheetView view="pageBreakPreview" topLeftCell="D1" zoomScaleNormal="70" zoomScaleSheetLayoutView="100" workbookViewId="0">
      <pane ySplit="2" topLeftCell="A5" activePane="bottomLeft" state="frozen"/>
      <selection pane="bottomLeft" activeCell="K4" sqref="K4"/>
    </sheetView>
  </sheetViews>
  <sheetFormatPr defaultColWidth="12.5703125" defaultRowHeight="15.75" customHeight="1" x14ac:dyDescent="0.2"/>
  <cols>
    <col min="1" max="1" width="18.85546875" hidden="1" customWidth="1"/>
    <col min="2" max="2" width="25.85546875" hidden="1" customWidth="1"/>
    <col min="3" max="3" width="7.7109375" customWidth="1"/>
    <col min="4" max="4" width="56.28515625" customWidth="1"/>
    <col min="5" max="5" width="10.42578125" style="4" customWidth="1"/>
    <col min="6" max="6" width="10.42578125" customWidth="1"/>
    <col min="7" max="7" width="8" customWidth="1"/>
    <col min="8" max="8" width="49.7109375" customWidth="1"/>
    <col min="9" max="9" width="37.42578125" hidden="1" customWidth="1"/>
    <col min="10" max="10" width="4.5703125" hidden="1" customWidth="1"/>
    <col min="11" max="11" width="20.42578125" customWidth="1"/>
    <col min="12" max="12" width="20.7109375" customWidth="1"/>
    <col min="13" max="13" width="24.7109375" hidden="1" customWidth="1"/>
    <col min="14" max="14" width="18.85546875" hidden="1" customWidth="1"/>
    <col min="15" max="15" width="51.85546875" customWidth="1"/>
    <col min="16" max="19" width="18.85546875" customWidth="1"/>
  </cols>
  <sheetData>
    <row r="1" spans="1:15" ht="34.5" customHeight="1" x14ac:dyDescent="0.2">
      <c r="C1" s="83" t="s">
        <v>283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5" ht="87.75" customHeight="1" x14ac:dyDescent="0.2">
      <c r="A2" s="5" t="s">
        <v>0</v>
      </c>
      <c r="B2" s="7" t="s">
        <v>1</v>
      </c>
      <c r="C2" s="63" t="s">
        <v>191</v>
      </c>
      <c r="D2" s="63" t="s">
        <v>2</v>
      </c>
      <c r="E2" s="75" t="s">
        <v>3</v>
      </c>
      <c r="F2" s="75" t="s">
        <v>4</v>
      </c>
      <c r="G2" s="76" t="s">
        <v>247</v>
      </c>
      <c r="H2" s="77" t="s">
        <v>5</v>
      </c>
      <c r="I2" s="78" t="s">
        <v>6</v>
      </c>
      <c r="J2" s="79" t="s">
        <v>7</v>
      </c>
      <c r="K2" s="80" t="s">
        <v>8</v>
      </c>
      <c r="L2" s="80" t="s">
        <v>271</v>
      </c>
      <c r="M2" s="80" t="s">
        <v>9</v>
      </c>
      <c r="N2" s="81" t="s">
        <v>10</v>
      </c>
      <c r="O2" s="82" t="s">
        <v>272</v>
      </c>
    </row>
    <row r="3" spans="1:15" ht="33" customHeight="1" x14ac:dyDescent="0.2">
      <c r="A3" s="2">
        <v>45916.524222442131</v>
      </c>
      <c r="B3" s="9" t="s">
        <v>16</v>
      </c>
      <c r="C3" s="63">
        <v>1</v>
      </c>
      <c r="D3" s="64" t="s">
        <v>17</v>
      </c>
      <c r="E3" s="63">
        <v>1</v>
      </c>
      <c r="F3" s="63">
        <v>12</v>
      </c>
      <c r="G3" s="63">
        <v>10</v>
      </c>
      <c r="H3" s="65" t="s">
        <v>18</v>
      </c>
      <c r="I3" s="64"/>
      <c r="J3" s="64"/>
      <c r="K3" s="64" t="s">
        <v>19</v>
      </c>
      <c r="L3" s="66">
        <v>5072691188</v>
      </c>
      <c r="M3" s="64" t="s">
        <v>20</v>
      </c>
      <c r="N3" s="67"/>
      <c r="O3" s="68" t="s">
        <v>273</v>
      </c>
    </row>
    <row r="4" spans="1:15" ht="44.25" customHeight="1" x14ac:dyDescent="0.2">
      <c r="A4" s="2">
        <v>45918.624354016203</v>
      </c>
      <c r="B4" s="9" t="s">
        <v>16</v>
      </c>
      <c r="C4" s="63">
        <v>2</v>
      </c>
      <c r="D4" s="64" t="s">
        <v>95</v>
      </c>
      <c r="E4" s="63">
        <v>1</v>
      </c>
      <c r="F4" s="63">
        <v>15</v>
      </c>
      <c r="G4" s="63">
        <v>343</v>
      </c>
      <c r="H4" s="69" t="s">
        <v>280</v>
      </c>
      <c r="I4" s="70"/>
      <c r="J4" s="70"/>
      <c r="K4" s="64" t="s">
        <v>267</v>
      </c>
      <c r="L4" s="66">
        <v>5058753365</v>
      </c>
      <c r="M4" s="64" t="s">
        <v>98</v>
      </c>
      <c r="N4" s="67"/>
      <c r="O4" s="68" t="s">
        <v>281</v>
      </c>
    </row>
    <row r="5" spans="1:15" ht="45.75" customHeight="1" x14ac:dyDescent="0.2">
      <c r="A5" s="2">
        <v>45918.762798310185</v>
      </c>
      <c r="B5" s="9" t="s">
        <v>16</v>
      </c>
      <c r="C5" s="63">
        <v>3</v>
      </c>
      <c r="D5" s="64" t="s">
        <v>112</v>
      </c>
      <c r="E5" s="63">
        <v>1</v>
      </c>
      <c r="F5" s="63">
        <v>18</v>
      </c>
      <c r="G5" s="63">
        <v>512</v>
      </c>
      <c r="H5" s="71" t="s">
        <v>285</v>
      </c>
      <c r="I5" s="64" t="s">
        <v>38</v>
      </c>
      <c r="J5" s="70"/>
      <c r="K5" s="64" t="s">
        <v>113</v>
      </c>
      <c r="L5" s="66">
        <v>5354377787</v>
      </c>
      <c r="M5" s="64" t="s">
        <v>20</v>
      </c>
      <c r="N5" s="67" t="s">
        <v>114</v>
      </c>
      <c r="O5" s="68" t="s">
        <v>274</v>
      </c>
    </row>
    <row r="6" spans="1:15" ht="33" customHeight="1" x14ac:dyDescent="0.2">
      <c r="A6" s="1">
        <v>45918.851156886572</v>
      </c>
      <c r="B6" s="8" t="s">
        <v>16</v>
      </c>
      <c r="C6" s="63">
        <v>4</v>
      </c>
      <c r="D6" s="64" t="s">
        <v>132</v>
      </c>
      <c r="E6" s="63">
        <v>1</v>
      </c>
      <c r="F6" s="63">
        <v>15</v>
      </c>
      <c r="G6" s="63">
        <v>100</v>
      </c>
      <c r="H6" s="72" t="s">
        <v>133</v>
      </c>
      <c r="I6" s="70"/>
      <c r="J6" s="70"/>
      <c r="K6" s="64" t="s">
        <v>134</v>
      </c>
      <c r="L6" s="66">
        <v>5304959610</v>
      </c>
      <c r="M6" s="64" t="s">
        <v>135</v>
      </c>
      <c r="N6" s="73"/>
      <c r="O6" s="68" t="s">
        <v>275</v>
      </c>
    </row>
    <row r="7" spans="1:15" ht="41.25" customHeight="1" x14ac:dyDescent="0.2">
      <c r="A7" s="2">
        <v>45918.911722847217</v>
      </c>
      <c r="B7" s="9" t="s">
        <v>11</v>
      </c>
      <c r="C7" s="63">
        <v>5</v>
      </c>
      <c r="D7" s="64" t="s">
        <v>139</v>
      </c>
      <c r="E7" s="63">
        <v>1</v>
      </c>
      <c r="F7" s="63">
        <v>15</v>
      </c>
      <c r="G7" s="63">
        <v>534</v>
      </c>
      <c r="H7" s="71" t="s">
        <v>286</v>
      </c>
      <c r="I7" s="70"/>
      <c r="J7" s="70"/>
      <c r="K7" s="64" t="s">
        <v>140</v>
      </c>
      <c r="L7" s="66">
        <v>5056841323</v>
      </c>
      <c r="M7" s="64" t="s">
        <v>20</v>
      </c>
      <c r="N7" s="73"/>
      <c r="O7" s="68" t="s">
        <v>284</v>
      </c>
    </row>
    <row r="8" spans="1:15" ht="33" customHeight="1" x14ac:dyDescent="0.2">
      <c r="A8" s="1">
        <v>45918.915032974532</v>
      </c>
      <c r="B8" s="8" t="s">
        <v>11</v>
      </c>
      <c r="C8" s="63">
        <v>6</v>
      </c>
      <c r="D8" s="64" t="s">
        <v>156</v>
      </c>
      <c r="E8" s="63">
        <v>1</v>
      </c>
      <c r="F8" s="63">
        <v>30</v>
      </c>
      <c r="G8" s="63">
        <v>167</v>
      </c>
      <c r="H8" s="72" t="s">
        <v>157</v>
      </c>
      <c r="I8" s="70"/>
      <c r="J8" s="70"/>
      <c r="K8" s="64" t="s">
        <v>268</v>
      </c>
      <c r="L8" s="66">
        <v>5428230316</v>
      </c>
      <c r="M8" s="64" t="s">
        <v>145</v>
      </c>
      <c r="N8" s="73"/>
      <c r="O8" s="68" t="s">
        <v>275</v>
      </c>
    </row>
    <row r="9" spans="1:15" ht="33" customHeight="1" x14ac:dyDescent="0.2">
      <c r="A9" s="1">
        <v>45919.313270312501</v>
      </c>
      <c r="B9" s="8" t="s">
        <v>46</v>
      </c>
      <c r="C9" s="63">
        <v>7</v>
      </c>
      <c r="D9" s="64" t="s">
        <v>166</v>
      </c>
      <c r="E9" s="63">
        <v>1</v>
      </c>
      <c r="F9" s="63">
        <v>30</v>
      </c>
      <c r="G9" s="63">
        <v>107</v>
      </c>
      <c r="H9" s="72" t="s">
        <v>167</v>
      </c>
      <c r="I9" s="70"/>
      <c r="J9" s="70"/>
      <c r="K9" s="64" t="s">
        <v>168</v>
      </c>
      <c r="L9" s="66">
        <v>5352379500</v>
      </c>
      <c r="M9" s="64" t="s">
        <v>135</v>
      </c>
      <c r="N9" s="73"/>
      <c r="O9" s="68" t="s">
        <v>275</v>
      </c>
    </row>
    <row r="10" spans="1:15" ht="33" customHeight="1" x14ac:dyDescent="0.2">
      <c r="A10" s="2">
        <v>45919.445797465276</v>
      </c>
      <c r="B10" s="9" t="s">
        <v>11</v>
      </c>
      <c r="C10" s="63">
        <v>8</v>
      </c>
      <c r="D10" s="64" t="s">
        <v>169</v>
      </c>
      <c r="E10" s="63">
        <v>1</v>
      </c>
      <c r="F10" s="63">
        <v>15</v>
      </c>
      <c r="G10" s="63">
        <v>69</v>
      </c>
      <c r="H10" s="72" t="s">
        <v>170</v>
      </c>
      <c r="I10" s="70"/>
      <c r="J10" s="70"/>
      <c r="K10" s="64" t="s">
        <v>171</v>
      </c>
      <c r="L10" s="66">
        <v>5058618266</v>
      </c>
      <c r="M10" s="64" t="s">
        <v>172</v>
      </c>
      <c r="N10" s="73"/>
      <c r="O10" s="68" t="s">
        <v>275</v>
      </c>
    </row>
    <row r="11" spans="1:15" ht="33" customHeight="1" x14ac:dyDescent="0.2">
      <c r="A11" s="1">
        <v>45918.387331261576</v>
      </c>
      <c r="B11" s="8" t="s">
        <v>46</v>
      </c>
      <c r="C11" s="63">
        <v>9</v>
      </c>
      <c r="D11" s="64" t="s">
        <v>25</v>
      </c>
      <c r="E11" s="63">
        <v>2</v>
      </c>
      <c r="F11" s="63">
        <v>31</v>
      </c>
      <c r="G11" s="63">
        <v>175</v>
      </c>
      <c r="H11" s="72" t="s">
        <v>26</v>
      </c>
      <c r="I11" s="64"/>
      <c r="J11" s="64"/>
      <c r="K11" s="64" t="s">
        <v>27</v>
      </c>
      <c r="L11" s="66">
        <v>5363574590</v>
      </c>
      <c r="M11" s="64" t="s">
        <v>20</v>
      </c>
      <c r="N11" s="67"/>
      <c r="O11" s="68" t="s">
        <v>275</v>
      </c>
    </row>
    <row r="12" spans="1:15" ht="40.5" customHeight="1" x14ac:dyDescent="0.2">
      <c r="A12" s="2">
        <v>45918.444817199073</v>
      </c>
      <c r="B12" s="9" t="s">
        <v>46</v>
      </c>
      <c r="C12" s="63">
        <v>10</v>
      </c>
      <c r="D12" s="64" t="s">
        <v>33</v>
      </c>
      <c r="E12" s="63">
        <v>2</v>
      </c>
      <c r="F12" s="63">
        <v>45</v>
      </c>
      <c r="G12" s="63">
        <v>112</v>
      </c>
      <c r="H12" s="65" t="s">
        <v>18</v>
      </c>
      <c r="I12" s="64"/>
      <c r="J12" s="64"/>
      <c r="K12" s="64" t="s">
        <v>34</v>
      </c>
      <c r="L12" s="66">
        <v>5445507635</v>
      </c>
      <c r="M12" s="64" t="s">
        <v>15</v>
      </c>
      <c r="N12" s="67"/>
      <c r="O12" s="68" t="s">
        <v>276</v>
      </c>
    </row>
    <row r="13" spans="1:15" ht="33" customHeight="1" x14ac:dyDescent="0.2">
      <c r="A13" s="2">
        <v>45918.60774994213</v>
      </c>
      <c r="B13" s="9" t="s">
        <v>46</v>
      </c>
      <c r="C13" s="63">
        <v>11</v>
      </c>
      <c r="D13" s="64" t="s">
        <v>109</v>
      </c>
      <c r="E13" s="63">
        <v>2</v>
      </c>
      <c r="F13" s="63">
        <v>32</v>
      </c>
      <c r="G13" s="63">
        <v>620</v>
      </c>
      <c r="H13" s="69" t="s">
        <v>110</v>
      </c>
      <c r="I13" s="70"/>
      <c r="J13" s="70"/>
      <c r="K13" s="64" t="s">
        <v>111</v>
      </c>
      <c r="L13" s="66">
        <v>5397986600</v>
      </c>
      <c r="M13" s="64" t="s">
        <v>30</v>
      </c>
      <c r="N13" s="73"/>
      <c r="O13" s="68" t="s">
        <v>282</v>
      </c>
    </row>
    <row r="14" spans="1:15" ht="33" customHeight="1" x14ac:dyDescent="0.2">
      <c r="A14" s="1">
        <v>45918.842952581021</v>
      </c>
      <c r="B14" s="8" t="s">
        <v>16</v>
      </c>
      <c r="C14" s="63">
        <v>12</v>
      </c>
      <c r="D14" s="64" t="s">
        <v>136</v>
      </c>
      <c r="E14" s="63">
        <v>4</v>
      </c>
      <c r="F14" s="63">
        <v>60</v>
      </c>
      <c r="G14" s="63">
        <v>674</v>
      </c>
      <c r="H14" s="72" t="s">
        <v>265</v>
      </c>
      <c r="I14" s="70"/>
      <c r="J14" s="70"/>
      <c r="K14" s="64" t="s">
        <v>138</v>
      </c>
      <c r="L14" s="66">
        <v>5324689096</v>
      </c>
      <c r="M14" s="64" t="s">
        <v>126</v>
      </c>
      <c r="N14" s="73"/>
      <c r="O14" s="68" t="s">
        <v>277</v>
      </c>
    </row>
    <row r="15" spans="1:15" ht="33" customHeight="1" x14ac:dyDescent="0.2">
      <c r="A15" s="1">
        <v>45918.934425729167</v>
      </c>
      <c r="B15" s="8" t="s">
        <v>11</v>
      </c>
      <c r="C15" s="63">
        <v>13</v>
      </c>
      <c r="D15" s="64" t="s">
        <v>175</v>
      </c>
      <c r="E15" s="63">
        <v>2</v>
      </c>
      <c r="F15" s="63">
        <v>24</v>
      </c>
      <c r="G15" s="63">
        <v>104</v>
      </c>
      <c r="H15" s="72" t="s">
        <v>176</v>
      </c>
      <c r="I15" s="70"/>
      <c r="J15" s="70"/>
      <c r="K15" s="64" t="s">
        <v>177</v>
      </c>
      <c r="L15" s="66">
        <v>5053943225</v>
      </c>
      <c r="M15" s="64" t="s">
        <v>15</v>
      </c>
      <c r="N15" s="73"/>
      <c r="O15" s="68" t="s">
        <v>278</v>
      </c>
    </row>
    <row r="16" spans="1:15" ht="33" customHeight="1" x14ac:dyDescent="0.2">
      <c r="A16" s="1">
        <v>45919.404417083337</v>
      </c>
      <c r="B16" s="8" t="s">
        <v>16</v>
      </c>
      <c r="C16" s="63">
        <v>14</v>
      </c>
      <c r="D16" s="64" t="s">
        <v>31</v>
      </c>
      <c r="E16" s="74">
        <v>2</v>
      </c>
      <c r="F16" s="74">
        <v>26</v>
      </c>
      <c r="G16" s="74">
        <v>70</v>
      </c>
      <c r="H16" s="69" t="s">
        <v>71</v>
      </c>
      <c r="I16" s="70"/>
      <c r="J16" s="70"/>
      <c r="K16" s="64" t="s">
        <v>32</v>
      </c>
      <c r="L16" s="66">
        <v>5058252096</v>
      </c>
      <c r="M16" s="64" t="s">
        <v>15</v>
      </c>
      <c r="N16" s="67"/>
      <c r="O16" s="68" t="s">
        <v>278</v>
      </c>
    </row>
    <row r="17" spans="1:15" ht="33" customHeight="1" x14ac:dyDescent="0.2">
      <c r="A17" s="2">
        <v>45919.406116886574</v>
      </c>
      <c r="B17" s="9" t="s">
        <v>11</v>
      </c>
      <c r="C17" s="63">
        <v>15</v>
      </c>
      <c r="D17" s="64" t="s">
        <v>49</v>
      </c>
      <c r="E17" s="63">
        <v>3</v>
      </c>
      <c r="F17" s="63">
        <v>36</v>
      </c>
      <c r="G17" s="63">
        <v>724</v>
      </c>
      <c r="H17" s="72" t="s">
        <v>287</v>
      </c>
      <c r="I17" s="70"/>
      <c r="J17" s="70"/>
      <c r="K17" s="64" t="s">
        <v>51</v>
      </c>
      <c r="L17" s="66">
        <v>5072134873</v>
      </c>
      <c r="M17" s="64" t="s">
        <v>20</v>
      </c>
      <c r="N17" s="67"/>
      <c r="O17" s="68" t="s">
        <v>278</v>
      </c>
    </row>
    <row r="18" spans="1:15" ht="33" customHeight="1" x14ac:dyDescent="0.2">
      <c r="A18" s="1">
        <v>45919.447184745368</v>
      </c>
      <c r="B18" s="8" t="s">
        <v>46</v>
      </c>
      <c r="C18" s="63">
        <v>16</v>
      </c>
      <c r="D18" s="64" t="s">
        <v>78</v>
      </c>
      <c r="E18" s="63">
        <v>3</v>
      </c>
      <c r="F18" s="63">
        <v>36</v>
      </c>
      <c r="G18" s="63">
        <v>68</v>
      </c>
      <c r="H18" s="72" t="s">
        <v>79</v>
      </c>
      <c r="I18" s="70"/>
      <c r="J18" s="70"/>
      <c r="K18" s="64" t="s">
        <v>80</v>
      </c>
      <c r="L18" s="66">
        <v>5055067723</v>
      </c>
      <c r="M18" s="64" t="s">
        <v>81</v>
      </c>
      <c r="N18" s="67"/>
      <c r="O18" s="68" t="s">
        <v>278</v>
      </c>
    </row>
    <row r="19" spans="1:15" ht="33" customHeight="1" x14ac:dyDescent="0.2">
      <c r="A19" s="1">
        <v>45916.41252597222</v>
      </c>
      <c r="B19" s="8" t="s">
        <v>11</v>
      </c>
      <c r="C19" s="63">
        <v>17</v>
      </c>
      <c r="D19" s="64" t="s">
        <v>152</v>
      </c>
      <c r="E19" s="63">
        <v>3</v>
      </c>
      <c r="F19" s="63">
        <v>50</v>
      </c>
      <c r="G19" s="63">
        <v>180</v>
      </c>
      <c r="H19" s="72" t="s">
        <v>153</v>
      </c>
      <c r="I19" s="70"/>
      <c r="J19" s="70"/>
      <c r="K19" s="64" t="s">
        <v>268</v>
      </c>
      <c r="L19" s="66">
        <v>5428230316</v>
      </c>
      <c r="M19" s="64" t="s">
        <v>155</v>
      </c>
      <c r="N19" s="73"/>
      <c r="O19" s="68" t="s">
        <v>278</v>
      </c>
    </row>
    <row r="20" spans="1:15" ht="33" customHeight="1" x14ac:dyDescent="0.2">
      <c r="A20" s="2">
        <v>45918.845547824079</v>
      </c>
      <c r="B20" s="9" t="s">
        <v>11</v>
      </c>
      <c r="C20" s="63">
        <v>18</v>
      </c>
      <c r="D20" s="64" t="s">
        <v>143</v>
      </c>
      <c r="E20" s="63">
        <v>4</v>
      </c>
      <c r="F20" s="63">
        <v>68</v>
      </c>
      <c r="G20" s="63">
        <v>180</v>
      </c>
      <c r="H20" s="71" t="s">
        <v>269</v>
      </c>
      <c r="I20" s="70"/>
      <c r="J20" s="70"/>
      <c r="K20" s="64" t="s">
        <v>270</v>
      </c>
      <c r="L20" s="66">
        <v>5056558458</v>
      </c>
      <c r="M20" s="64" t="s">
        <v>145</v>
      </c>
      <c r="N20" s="73"/>
      <c r="O20" s="68" t="s">
        <v>274</v>
      </c>
    </row>
    <row r="21" spans="1:15" ht="33" customHeight="1" x14ac:dyDescent="0.2">
      <c r="A21" s="1">
        <v>45917.692936898151</v>
      </c>
      <c r="B21" s="8" t="s">
        <v>46</v>
      </c>
      <c r="C21" s="63">
        <v>19</v>
      </c>
      <c r="D21" s="64" t="s">
        <v>52</v>
      </c>
      <c r="E21" s="63">
        <v>6</v>
      </c>
      <c r="F21" s="63">
        <v>72</v>
      </c>
      <c r="G21" s="63">
        <v>149</v>
      </c>
      <c r="H21" s="72" t="s">
        <v>53</v>
      </c>
      <c r="I21" s="70"/>
      <c r="J21" s="70"/>
      <c r="K21" s="64" t="s">
        <v>54</v>
      </c>
      <c r="L21" s="66">
        <v>5309647772</v>
      </c>
      <c r="M21" s="64" t="s">
        <v>55</v>
      </c>
      <c r="N21" s="67"/>
      <c r="O21" s="68" t="s">
        <v>275</v>
      </c>
    </row>
    <row r="22" spans="1:15" ht="33" customHeight="1" x14ac:dyDescent="0.2">
      <c r="A22" s="2">
        <v>45918.416950694445</v>
      </c>
      <c r="B22" s="9" t="s">
        <v>11</v>
      </c>
      <c r="C22" s="63">
        <v>20</v>
      </c>
      <c r="D22" s="64" t="s">
        <v>56</v>
      </c>
      <c r="E22" s="63">
        <v>7</v>
      </c>
      <c r="F22" s="63">
        <v>150</v>
      </c>
      <c r="G22" s="63"/>
      <c r="H22" s="72" t="s">
        <v>57</v>
      </c>
      <c r="I22" s="70"/>
      <c r="J22" s="70"/>
      <c r="K22" s="64" t="s">
        <v>58</v>
      </c>
      <c r="L22" s="66">
        <v>5055363189</v>
      </c>
      <c r="M22" s="64" t="s">
        <v>59</v>
      </c>
      <c r="N22" s="67"/>
      <c r="O22" s="68" t="s">
        <v>279</v>
      </c>
    </row>
    <row r="23" spans="1:15" ht="12.75" x14ac:dyDescent="0.2">
      <c r="A23" s="1">
        <v>45918.639522627316</v>
      </c>
      <c r="B23" s="8" t="s">
        <v>16</v>
      </c>
      <c r="O23" s="26"/>
    </row>
    <row r="24" spans="1:15" ht="12.75" x14ac:dyDescent="0.2">
      <c r="A24" s="2">
        <v>45918.842734270831</v>
      </c>
      <c r="B24" s="9" t="s">
        <v>46</v>
      </c>
      <c r="O24" s="26"/>
    </row>
    <row r="25" spans="1:15" ht="12.75" x14ac:dyDescent="0.2">
      <c r="A25" s="1">
        <v>45918.927951388891</v>
      </c>
      <c r="B25" s="8" t="s">
        <v>16</v>
      </c>
      <c r="O25" s="26"/>
    </row>
    <row r="26" spans="1:15" ht="12.75" x14ac:dyDescent="0.2">
      <c r="A26" s="2">
        <v>45918.394223738425</v>
      </c>
      <c r="B26" s="9" t="s">
        <v>11</v>
      </c>
      <c r="O26" s="26"/>
    </row>
    <row r="27" spans="1:15" ht="12.75" x14ac:dyDescent="0.2">
      <c r="A27" s="1">
        <v>45918.421014583335</v>
      </c>
      <c r="B27" s="8" t="s">
        <v>46</v>
      </c>
      <c r="O27" s="26"/>
    </row>
    <row r="28" spans="1:15" ht="12.75" x14ac:dyDescent="0.2">
      <c r="A28" s="2">
        <v>45918.439024444444</v>
      </c>
      <c r="B28" s="9" t="s">
        <v>46</v>
      </c>
      <c r="O28" s="26"/>
    </row>
    <row r="29" spans="1:15" ht="12.75" x14ac:dyDescent="0.2">
      <c r="A29" s="1">
        <v>45918.451685011576</v>
      </c>
      <c r="B29" s="8" t="s">
        <v>16</v>
      </c>
      <c r="O29" s="26"/>
    </row>
    <row r="30" spans="1:15" ht="12.75" x14ac:dyDescent="0.2">
      <c r="A30" s="2">
        <v>45918.891950694444</v>
      </c>
      <c r="B30" s="9" t="s">
        <v>46</v>
      </c>
      <c r="O30" s="26"/>
    </row>
    <row r="31" spans="1:15" ht="12.75" x14ac:dyDescent="0.2">
      <c r="A31" s="1">
        <v>45918.940966400463</v>
      </c>
      <c r="B31" s="8" t="s">
        <v>46</v>
      </c>
      <c r="O31" s="26"/>
    </row>
    <row r="32" spans="1:15" ht="12.75" x14ac:dyDescent="0.2">
      <c r="A32" s="2">
        <v>45918.812139120375</v>
      </c>
      <c r="B32" s="9" t="s">
        <v>11</v>
      </c>
      <c r="O32" s="26"/>
    </row>
    <row r="33" spans="1:19" ht="12.75" x14ac:dyDescent="0.2">
      <c r="A33" s="1">
        <v>45918.38134118056</v>
      </c>
      <c r="B33" s="8" t="s">
        <v>11</v>
      </c>
      <c r="O33" s="26"/>
    </row>
    <row r="34" spans="1:19" ht="12.75" x14ac:dyDescent="0.2">
      <c r="A34" s="1">
        <v>45918.423607997684</v>
      </c>
      <c r="B34" s="8" t="s">
        <v>11</v>
      </c>
      <c r="O34" s="26"/>
    </row>
    <row r="35" spans="1:19" ht="12.75" x14ac:dyDescent="0.2">
      <c r="A35" s="2">
        <v>45916.433113333333</v>
      </c>
      <c r="B35" s="9" t="s">
        <v>11</v>
      </c>
      <c r="O35" s="26"/>
    </row>
    <row r="36" spans="1:19" ht="12.75" x14ac:dyDescent="0.2">
      <c r="A36" s="3">
        <v>45918.383429224537</v>
      </c>
      <c r="B36" s="10" t="s">
        <v>11</v>
      </c>
      <c r="O36" s="26"/>
    </row>
    <row r="37" spans="1:19" ht="15.75" customHeight="1" x14ac:dyDescent="0.2">
      <c r="C37" s="43"/>
      <c r="D37" s="44" t="s">
        <v>252</v>
      </c>
      <c r="E37" s="45"/>
      <c r="F37" s="45"/>
      <c r="G37" s="43" t="e">
        <f>_xlfn.XLOOKUP('[1]Bilgisayarı olan okullarımız'!$L$4,'[1]Bilgisayarı olan okullarımız'!$H$4:$H$49,'[1]Bilgisayarı olan okullarımız'!$L$4:$L$49)</f>
        <v>#N/A</v>
      </c>
      <c r="H37" s="46"/>
      <c r="I37" s="46"/>
      <c r="J37" s="46"/>
      <c r="K37" s="46"/>
      <c r="L37" s="46"/>
      <c r="M37" s="46"/>
      <c r="N37" s="46"/>
      <c r="O37" s="26"/>
    </row>
    <row r="38" spans="1:19" ht="15.75" customHeight="1" x14ac:dyDescent="0.2">
      <c r="C38" s="43"/>
      <c r="D38" s="44" t="s">
        <v>253</v>
      </c>
      <c r="E38" s="45"/>
      <c r="F38" s="45"/>
      <c r="G38" s="43" t="e">
        <f>_xlfn.XLOOKUP('[1]Bilgisayarı olan okullarımız'!$L$4,'[1]Bilgisayarı olan okullarımız'!$H$4:$H$49,'[1]Bilgisayarı olan okullarımız'!$L$4:$L$49)</f>
        <v>#N/A</v>
      </c>
      <c r="H38" s="46"/>
      <c r="I38" s="46"/>
      <c r="J38" s="46"/>
      <c r="K38" s="46"/>
      <c r="L38" s="46"/>
      <c r="M38" s="46"/>
      <c r="N38" s="46"/>
      <c r="O38" s="46"/>
    </row>
    <row r="39" spans="1:19" ht="15.75" customHeight="1" x14ac:dyDescent="0.2">
      <c r="D39" s="21" t="s">
        <v>194</v>
      </c>
      <c r="E39" s="4">
        <f>SUM(E3:E38)-32</f>
        <v>16</v>
      </c>
      <c r="F39">
        <f>SUM(F3:F38)-784</f>
        <v>-4</v>
      </c>
    </row>
    <row r="47" spans="1:19" ht="15.75" customHeight="1" thickBot="1" x14ac:dyDescent="0.25">
      <c r="D47" s="48" t="s">
        <v>120</v>
      </c>
    </row>
    <row r="48" spans="1:19" ht="15.75" customHeight="1" thickBot="1" x14ac:dyDescent="0.25">
      <c r="D48" s="54" t="s">
        <v>12</v>
      </c>
      <c r="E48" s="47"/>
      <c r="F48" s="48"/>
      <c r="G48" s="48"/>
      <c r="H48" s="48"/>
      <c r="I48" s="48" t="s">
        <v>256</v>
      </c>
      <c r="J48" s="48" t="s">
        <v>257</v>
      </c>
      <c r="M48" s="49"/>
      <c r="N48" s="49"/>
      <c r="O48" s="47"/>
      <c r="P48" s="50"/>
      <c r="Q48" s="51"/>
      <c r="R48" s="51"/>
      <c r="S48" s="51"/>
    </row>
    <row r="49" spans="4:19" ht="15.75" customHeight="1" thickBot="1" x14ac:dyDescent="0.25">
      <c r="D49" s="48" t="s">
        <v>130</v>
      </c>
      <c r="E49" s="53"/>
      <c r="F49" s="54"/>
      <c r="G49" s="54"/>
      <c r="H49" s="54"/>
      <c r="I49" s="54" t="s">
        <v>256</v>
      </c>
      <c r="J49" s="54" t="s">
        <v>257</v>
      </c>
      <c r="M49" s="55"/>
      <c r="N49" s="55"/>
      <c r="O49" s="53"/>
      <c r="P49" s="56"/>
      <c r="Q49" s="57"/>
      <c r="R49" s="57"/>
      <c r="S49" s="57"/>
    </row>
    <row r="50" spans="4:19" ht="15.75" customHeight="1" thickBot="1" x14ac:dyDescent="0.25">
      <c r="D50" s="54" t="s">
        <v>43</v>
      </c>
      <c r="E50" s="47"/>
      <c r="F50" s="48"/>
      <c r="G50" s="48"/>
      <c r="H50" s="48"/>
      <c r="I50" s="48" t="s">
        <v>256</v>
      </c>
      <c r="J50" s="48" t="s">
        <v>257</v>
      </c>
      <c r="M50" s="49"/>
      <c r="N50" s="49"/>
      <c r="O50" s="47"/>
      <c r="P50" s="47"/>
      <c r="Q50" s="51"/>
      <c r="R50" s="51"/>
      <c r="S50" s="51"/>
    </row>
    <row r="51" spans="4:19" ht="15.75" customHeight="1" thickBot="1" x14ac:dyDescent="0.25">
      <c r="D51" s="48" t="s">
        <v>127</v>
      </c>
      <c r="E51" s="53"/>
      <c r="F51" s="54"/>
      <c r="G51" s="54"/>
      <c r="H51" s="54"/>
      <c r="I51" s="54" t="s">
        <v>256</v>
      </c>
      <c r="J51" s="54" t="s">
        <v>257</v>
      </c>
      <c r="M51" s="55"/>
      <c r="N51" s="55"/>
      <c r="O51" s="53"/>
      <c r="P51" s="53"/>
      <c r="Q51" s="57"/>
      <c r="R51" s="57"/>
      <c r="S51" s="57"/>
    </row>
    <row r="52" spans="4:19" ht="15.75" customHeight="1" thickBot="1" x14ac:dyDescent="0.25">
      <c r="D52" s="54" t="s">
        <v>258</v>
      </c>
      <c r="E52" s="47"/>
      <c r="F52" s="48"/>
      <c r="G52" s="48"/>
      <c r="H52" s="48"/>
      <c r="I52" s="48" t="s">
        <v>256</v>
      </c>
      <c r="J52" s="48" t="s">
        <v>257</v>
      </c>
      <c r="M52" s="49"/>
      <c r="N52" s="49"/>
      <c r="O52" s="47"/>
      <c r="P52" s="47"/>
      <c r="Q52" s="51"/>
      <c r="R52" s="51"/>
      <c r="S52" s="51"/>
    </row>
    <row r="53" spans="4:19" ht="15.75" customHeight="1" thickBot="1" x14ac:dyDescent="0.25">
      <c r="D53" s="48" t="s">
        <v>127</v>
      </c>
      <c r="E53" s="53"/>
      <c r="F53" s="54"/>
      <c r="G53" s="54"/>
      <c r="H53" s="54"/>
      <c r="I53" s="54" t="s">
        <v>256</v>
      </c>
      <c r="J53" s="54" t="s">
        <v>257</v>
      </c>
      <c r="M53" s="55"/>
      <c r="N53" s="55"/>
      <c r="O53" s="53"/>
      <c r="P53" s="56"/>
      <c r="Q53" s="57"/>
      <c r="R53" s="57"/>
      <c r="S53" s="57"/>
    </row>
    <row r="54" spans="4:19" ht="15.75" customHeight="1" thickBot="1" x14ac:dyDescent="0.25">
      <c r="D54" s="54" t="s">
        <v>127</v>
      </c>
      <c r="E54" s="47"/>
      <c r="F54" s="48"/>
      <c r="G54" s="48"/>
      <c r="H54" s="48"/>
      <c r="I54" s="48" t="s">
        <v>256</v>
      </c>
      <c r="J54" s="48" t="s">
        <v>257</v>
      </c>
      <c r="M54" s="49"/>
      <c r="N54" s="49"/>
      <c r="O54" s="47"/>
      <c r="P54" s="50"/>
      <c r="Q54" s="51"/>
      <c r="R54" s="51"/>
      <c r="S54" s="51"/>
    </row>
    <row r="55" spans="4:19" ht="15.75" customHeight="1" thickBot="1" x14ac:dyDescent="0.25">
      <c r="D55" s="48" t="s">
        <v>127</v>
      </c>
      <c r="E55" s="53"/>
      <c r="F55" s="54"/>
      <c r="G55" s="54"/>
      <c r="H55" s="54"/>
      <c r="I55" s="54" t="s">
        <v>256</v>
      </c>
      <c r="J55" s="54" t="s">
        <v>257</v>
      </c>
      <c r="M55" s="55"/>
      <c r="N55" s="55"/>
      <c r="O55" s="53"/>
      <c r="P55" s="53"/>
      <c r="Q55" s="57"/>
      <c r="R55" s="57"/>
      <c r="S55" s="57"/>
    </row>
    <row r="56" spans="4:19" ht="15.75" customHeight="1" thickBot="1" x14ac:dyDescent="0.25">
      <c r="D56" s="54" t="s">
        <v>127</v>
      </c>
      <c r="E56" s="47"/>
      <c r="F56" s="48"/>
      <c r="G56" s="48"/>
      <c r="H56" s="48"/>
      <c r="I56" s="48" t="s">
        <v>256</v>
      </c>
      <c r="J56" s="48" t="s">
        <v>257</v>
      </c>
      <c r="M56" s="49"/>
      <c r="N56" s="49"/>
      <c r="O56" s="47"/>
      <c r="P56" s="47"/>
      <c r="Q56" s="51"/>
      <c r="R56" s="51"/>
      <c r="S56" s="51"/>
    </row>
    <row r="57" spans="4:19" ht="15.75" customHeight="1" thickBot="1" x14ac:dyDescent="0.25">
      <c r="D57" s="48" t="s">
        <v>127</v>
      </c>
      <c r="E57" s="53"/>
      <c r="F57" s="54"/>
      <c r="G57" s="54"/>
      <c r="H57" s="54"/>
      <c r="I57" s="54" t="s">
        <v>256</v>
      </c>
      <c r="J57" s="54" t="s">
        <v>257</v>
      </c>
      <c r="M57" s="55"/>
      <c r="N57" s="55"/>
      <c r="O57" s="53"/>
      <c r="P57" s="56"/>
      <c r="Q57" s="57"/>
      <c r="R57" s="57"/>
      <c r="S57" s="57"/>
    </row>
    <row r="58" spans="4:19" ht="15.75" customHeight="1" thickBot="1" x14ac:dyDescent="0.25">
      <c r="D58" s="54" t="s">
        <v>127</v>
      </c>
      <c r="E58" s="47"/>
      <c r="F58" s="48"/>
      <c r="G58" s="48"/>
      <c r="H58" s="48"/>
      <c r="I58" s="48" t="s">
        <v>256</v>
      </c>
      <c r="J58" s="48" t="s">
        <v>257</v>
      </c>
      <c r="M58" s="49"/>
      <c r="N58" s="49"/>
      <c r="O58" s="47"/>
      <c r="P58" s="50"/>
      <c r="Q58" s="51"/>
      <c r="R58" s="51"/>
      <c r="S58" s="51"/>
    </row>
    <row r="59" spans="4:19" ht="15.75" customHeight="1" thickBot="1" x14ac:dyDescent="0.25">
      <c r="D59" s="48" t="s">
        <v>21</v>
      </c>
      <c r="E59" s="53"/>
      <c r="F59" s="54"/>
      <c r="G59" s="54"/>
      <c r="H59" s="54"/>
      <c r="I59" s="54" t="s">
        <v>256</v>
      </c>
      <c r="J59" s="54" t="s">
        <v>257</v>
      </c>
      <c r="M59" s="55"/>
      <c r="N59" s="55"/>
      <c r="O59" s="53"/>
      <c r="P59" s="56"/>
      <c r="Q59" s="57"/>
      <c r="R59" s="57"/>
      <c r="S59" s="57"/>
    </row>
    <row r="60" spans="4:19" ht="15.75" customHeight="1" thickBot="1" x14ac:dyDescent="0.25">
      <c r="D60" s="54" t="s">
        <v>259</v>
      </c>
      <c r="E60" s="47"/>
      <c r="F60" s="48"/>
      <c r="G60" s="48"/>
      <c r="H60" s="48"/>
      <c r="I60" s="48" t="s">
        <v>256</v>
      </c>
      <c r="J60" s="48" t="s">
        <v>257</v>
      </c>
      <c r="M60" s="49"/>
      <c r="N60" s="49"/>
      <c r="O60" s="47"/>
      <c r="P60" s="47"/>
      <c r="Q60" s="51"/>
      <c r="R60" s="51"/>
      <c r="S60" s="51"/>
    </row>
    <row r="61" spans="4:19" ht="15.75" customHeight="1" thickBot="1" x14ac:dyDescent="0.25">
      <c r="D61" s="48" t="s">
        <v>120</v>
      </c>
      <c r="E61" s="53"/>
      <c r="F61" s="54"/>
      <c r="G61" s="54"/>
      <c r="H61" s="54"/>
      <c r="I61" s="54" t="s">
        <v>256</v>
      </c>
      <c r="J61" s="54" t="s">
        <v>257</v>
      </c>
      <c r="M61" s="55"/>
      <c r="N61" s="55"/>
      <c r="O61" s="53"/>
      <c r="P61" s="53"/>
      <c r="Q61" s="57"/>
      <c r="R61" s="57"/>
      <c r="S61" s="57"/>
    </row>
    <row r="62" spans="4:19" ht="15.75" customHeight="1" thickBot="1" x14ac:dyDescent="0.25">
      <c r="D62" s="54" t="s">
        <v>130</v>
      </c>
      <c r="E62" s="47"/>
      <c r="F62" s="48"/>
      <c r="G62" s="48"/>
      <c r="H62" s="48"/>
      <c r="I62" s="48" t="s">
        <v>256</v>
      </c>
      <c r="J62" s="48" t="s">
        <v>257</v>
      </c>
      <c r="M62" s="49"/>
      <c r="N62" s="49"/>
      <c r="O62" s="47"/>
      <c r="P62" s="50"/>
      <c r="Q62" s="51"/>
      <c r="R62" s="51"/>
      <c r="S62" s="51"/>
    </row>
    <row r="63" spans="4:19" ht="15.75" customHeight="1" thickBot="1" x14ac:dyDescent="0.25">
      <c r="D63" s="48" t="s">
        <v>120</v>
      </c>
      <c r="E63" s="53"/>
      <c r="F63" s="54"/>
      <c r="G63" s="54"/>
      <c r="H63" s="54"/>
      <c r="I63" s="54" t="s">
        <v>256</v>
      </c>
      <c r="J63" s="54" t="s">
        <v>257</v>
      </c>
      <c r="M63" s="55"/>
      <c r="N63" s="55"/>
      <c r="O63" s="53"/>
      <c r="P63" s="56"/>
      <c r="Q63" s="57"/>
      <c r="R63" s="57"/>
      <c r="S63" s="57"/>
    </row>
    <row r="64" spans="4:19" ht="15.75" customHeight="1" thickBot="1" x14ac:dyDescent="0.25">
      <c r="D64" s="54" t="s">
        <v>130</v>
      </c>
      <c r="E64" s="47"/>
      <c r="F64" s="48"/>
      <c r="G64" s="48"/>
      <c r="H64" s="48"/>
      <c r="I64" s="48" t="s">
        <v>256</v>
      </c>
      <c r="J64" s="48" t="s">
        <v>257</v>
      </c>
      <c r="M64" s="49"/>
      <c r="N64" s="49"/>
      <c r="O64" s="47"/>
      <c r="P64" s="47"/>
      <c r="Q64" s="51"/>
      <c r="R64" s="51"/>
      <c r="S64" s="51"/>
    </row>
    <row r="65" spans="4:19" ht="15.75" customHeight="1" thickBot="1" x14ac:dyDescent="0.25">
      <c r="D65" s="59"/>
      <c r="E65" s="53"/>
      <c r="F65" s="54"/>
      <c r="G65" s="54"/>
      <c r="H65" s="54"/>
      <c r="I65" s="54" t="s">
        <v>256</v>
      </c>
      <c r="J65" s="54" t="s">
        <v>257</v>
      </c>
      <c r="M65" s="55"/>
      <c r="N65" s="55"/>
      <c r="O65" s="53"/>
      <c r="P65" s="56"/>
      <c r="Q65" s="57"/>
      <c r="R65" s="57"/>
      <c r="S65" s="57"/>
    </row>
    <row r="66" spans="4:19" ht="15.75" customHeight="1" thickBot="1" x14ac:dyDescent="0.25">
      <c r="D66" s="54"/>
      <c r="E66" s="58"/>
      <c r="F66" s="59"/>
      <c r="G66" s="59"/>
      <c r="H66" s="59"/>
      <c r="I66" s="59" t="s">
        <v>260</v>
      </c>
      <c r="J66" s="59" t="s">
        <v>261</v>
      </c>
      <c r="M66" s="60"/>
      <c r="N66" s="60"/>
      <c r="O66" s="58"/>
      <c r="P66" s="58"/>
      <c r="Q66" s="61"/>
      <c r="R66" s="61"/>
      <c r="S66" s="61"/>
    </row>
    <row r="67" spans="4:19" ht="15.75" customHeight="1" thickBot="1" x14ac:dyDescent="0.25">
      <c r="D67" s="52"/>
      <c r="E67" s="53"/>
      <c r="F67" s="54"/>
      <c r="G67" s="54"/>
      <c r="H67" s="54"/>
      <c r="I67" s="54" t="s">
        <v>260</v>
      </c>
      <c r="J67" s="54" t="s">
        <v>261</v>
      </c>
      <c r="M67" s="55"/>
      <c r="N67" s="55"/>
      <c r="O67" s="53"/>
      <c r="P67" s="53"/>
      <c r="Q67" s="57"/>
      <c r="R67" s="57"/>
      <c r="S67" s="57"/>
    </row>
    <row r="68" spans="4:19" ht="15.75" customHeight="1" x14ac:dyDescent="0.2">
      <c r="E68"/>
    </row>
  </sheetData>
  <mergeCells count="1">
    <mergeCell ref="C1:O1"/>
  </mergeCells>
  <conditionalFormatting sqref="D37:D38 D3:D22">
    <cfRule type="duplicateValues" dxfId="8" priority="2"/>
  </conditionalFormatting>
  <conditionalFormatting sqref="D37:D46 D3:D22">
    <cfRule type="duplicateValues" dxfId="7" priority="3"/>
  </conditionalFormatting>
  <conditionalFormatting sqref="D37:D64 D3:D22">
    <cfRule type="duplicateValues" dxfId="6" priority="1"/>
  </conditionalFormatting>
  <pageMargins left="0.35433070866141736" right="0.11811023622047245" top="0.74803149606299213" bottom="0.11811023622047245" header="0.82677165354330717" footer="0.31496062992125984"/>
  <pageSetup paperSize="9" scale="61" orientation="landscape" r:id="rId1"/>
  <colBreaks count="1" manualBreakCount="1">
    <brk id="8" max="21" man="1"/>
  </colBreaks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7C4C-40F2-4126-B770-24B03B55E826}">
  <dimension ref="A1:B81"/>
  <sheetViews>
    <sheetView workbookViewId="0">
      <selection activeCell="B30" sqref="B30"/>
    </sheetView>
  </sheetViews>
  <sheetFormatPr defaultRowHeight="12.75" x14ac:dyDescent="0.2"/>
  <cols>
    <col min="1" max="1" width="47.85546875" customWidth="1"/>
    <col min="2" max="2" width="47" customWidth="1"/>
  </cols>
  <sheetData>
    <row r="1" spans="1:2" x14ac:dyDescent="0.2">
      <c r="A1" s="37" t="s">
        <v>17</v>
      </c>
      <c r="B1" s="37" t="s">
        <v>60</v>
      </c>
    </row>
    <row r="2" spans="1:2" x14ac:dyDescent="0.2">
      <c r="A2" s="37" t="s">
        <v>132</v>
      </c>
      <c r="B2" s="37" t="s">
        <v>95</v>
      </c>
    </row>
    <row r="3" spans="1:2" x14ac:dyDescent="0.2">
      <c r="A3" s="37" t="s">
        <v>156</v>
      </c>
      <c r="B3" s="37" t="s">
        <v>112</v>
      </c>
    </row>
    <row r="4" spans="1:2" x14ac:dyDescent="0.2">
      <c r="A4" s="37" t="s">
        <v>163</v>
      </c>
      <c r="B4" s="37" t="s">
        <v>75</v>
      </c>
    </row>
    <row r="5" spans="1:2" x14ac:dyDescent="0.2">
      <c r="A5" s="37" t="s">
        <v>166</v>
      </c>
      <c r="B5" s="37" t="s">
        <v>173</v>
      </c>
    </row>
    <row r="6" spans="1:2" x14ac:dyDescent="0.2">
      <c r="A6" s="37" t="s">
        <v>169</v>
      </c>
      <c r="B6" s="41" t="s">
        <v>139</v>
      </c>
    </row>
    <row r="7" spans="1:2" x14ac:dyDescent="0.2">
      <c r="A7" s="37" t="s">
        <v>182</v>
      </c>
      <c r="B7" s="41" t="s">
        <v>143</v>
      </c>
    </row>
    <row r="8" spans="1:2" x14ac:dyDescent="0.2">
      <c r="A8" s="37" t="s">
        <v>185</v>
      </c>
      <c r="B8" s="38" t="s">
        <v>63</v>
      </c>
    </row>
    <row r="9" spans="1:2" x14ac:dyDescent="0.2">
      <c r="A9" s="37" t="s">
        <v>25</v>
      </c>
      <c r="B9" s="38" t="s">
        <v>92</v>
      </c>
    </row>
    <row r="10" spans="1:2" x14ac:dyDescent="0.2">
      <c r="A10" s="37" t="s">
        <v>33</v>
      </c>
      <c r="B10" s="40" t="s">
        <v>124</v>
      </c>
    </row>
    <row r="11" spans="1:2" x14ac:dyDescent="0.2">
      <c r="A11" s="37" t="s">
        <v>65</v>
      </c>
      <c r="B11" s="37" t="s">
        <v>160</v>
      </c>
    </row>
    <row r="12" spans="1:2" x14ac:dyDescent="0.2">
      <c r="A12" s="37" t="s">
        <v>109</v>
      </c>
    </row>
    <row r="13" spans="1:2" x14ac:dyDescent="0.2">
      <c r="A13" s="37" t="s">
        <v>136</v>
      </c>
    </row>
    <row r="14" spans="1:2" x14ac:dyDescent="0.2">
      <c r="A14" s="37" t="s">
        <v>175</v>
      </c>
    </row>
    <row r="15" spans="1:2" x14ac:dyDescent="0.2">
      <c r="A15" s="37" t="s">
        <v>47</v>
      </c>
    </row>
    <row r="16" spans="1:2" x14ac:dyDescent="0.2">
      <c r="A16" s="37" t="s">
        <v>31</v>
      </c>
    </row>
    <row r="17" spans="1:1" x14ac:dyDescent="0.2">
      <c r="A17" s="37" t="s">
        <v>49</v>
      </c>
    </row>
    <row r="18" spans="1:1" x14ac:dyDescent="0.2">
      <c r="A18" s="37" t="s">
        <v>78</v>
      </c>
    </row>
    <row r="19" spans="1:1" x14ac:dyDescent="0.2">
      <c r="A19" s="37" t="s">
        <v>152</v>
      </c>
    </row>
    <row r="20" spans="1:1" x14ac:dyDescent="0.2">
      <c r="A20" s="37" t="s">
        <v>82</v>
      </c>
    </row>
    <row r="21" spans="1:1" x14ac:dyDescent="0.2">
      <c r="A21" s="37" t="s">
        <v>99</v>
      </c>
    </row>
    <row r="22" spans="1:1" x14ac:dyDescent="0.2">
      <c r="A22" s="37" t="s">
        <v>115</v>
      </c>
    </row>
    <row r="23" spans="1:1" x14ac:dyDescent="0.2">
      <c r="A23" s="37" t="s">
        <v>52</v>
      </c>
    </row>
    <row r="24" spans="1:1" x14ac:dyDescent="0.2">
      <c r="A24" s="37" t="s">
        <v>28</v>
      </c>
    </row>
    <row r="25" spans="1:1" x14ac:dyDescent="0.2">
      <c r="A25" s="37" t="s">
        <v>56</v>
      </c>
    </row>
    <row r="29" spans="1:1" x14ac:dyDescent="0.2">
      <c r="A29" s="38"/>
    </row>
    <row r="30" spans="1:1" x14ac:dyDescent="0.2">
      <c r="A30" s="39"/>
    </row>
    <row r="31" spans="1:1" x14ac:dyDescent="0.2">
      <c r="A31" s="39"/>
    </row>
    <row r="33" spans="1:1" x14ac:dyDescent="0.2">
      <c r="A33" s="39"/>
    </row>
    <row r="34" spans="1:1" x14ac:dyDescent="0.2">
      <c r="A34" s="38"/>
    </row>
    <row r="35" spans="1:1" x14ac:dyDescent="0.2">
      <c r="A35" s="39"/>
    </row>
    <row r="37" spans="1:1" x14ac:dyDescent="0.2">
      <c r="A37" s="39"/>
    </row>
    <row r="38" spans="1:1" x14ac:dyDescent="0.2">
      <c r="A38" s="38"/>
    </row>
    <row r="39" spans="1:1" x14ac:dyDescent="0.2">
      <c r="A39" s="39"/>
    </row>
    <row r="40" spans="1:1" x14ac:dyDescent="0.2">
      <c r="A40" s="38"/>
    </row>
    <row r="56" spans="1:1" x14ac:dyDescent="0.2">
      <c r="A56" s="21"/>
    </row>
    <row r="57" spans="1:1" x14ac:dyDescent="0.2">
      <c r="A57" s="21"/>
    </row>
    <row r="58" spans="1:1" x14ac:dyDescent="0.2">
      <c r="A58" s="21"/>
    </row>
    <row r="59" spans="1:1" x14ac:dyDescent="0.2">
      <c r="A59" s="21"/>
    </row>
    <row r="60" spans="1:1" x14ac:dyDescent="0.2">
      <c r="A60" s="21"/>
    </row>
    <row r="70" spans="1:1" x14ac:dyDescent="0.2">
      <c r="A70" s="35" t="s">
        <v>102</v>
      </c>
    </row>
    <row r="71" spans="1:1" x14ac:dyDescent="0.2">
      <c r="A71" s="35" t="s">
        <v>43</v>
      </c>
    </row>
    <row r="72" spans="1:1" x14ac:dyDescent="0.2">
      <c r="A72" s="35" t="s">
        <v>130</v>
      </c>
    </row>
    <row r="73" spans="1:1" x14ac:dyDescent="0.2">
      <c r="A73" s="35" t="s">
        <v>12</v>
      </c>
    </row>
    <row r="74" spans="1:1" x14ac:dyDescent="0.2">
      <c r="A74" s="36" t="s">
        <v>68</v>
      </c>
    </row>
    <row r="75" spans="1:1" x14ac:dyDescent="0.2">
      <c r="A75" s="35" t="s">
        <v>245</v>
      </c>
    </row>
    <row r="76" spans="1:1" x14ac:dyDescent="0.2">
      <c r="A76" s="35" t="s">
        <v>88</v>
      </c>
    </row>
    <row r="77" spans="1:1" x14ac:dyDescent="0.2">
      <c r="A77" s="35" t="s">
        <v>120</v>
      </c>
    </row>
    <row r="78" spans="1:1" x14ac:dyDescent="0.2">
      <c r="A78" s="35" t="s">
        <v>21</v>
      </c>
    </row>
    <row r="79" spans="1:1" x14ac:dyDescent="0.2">
      <c r="A79" s="35" t="s">
        <v>127</v>
      </c>
    </row>
    <row r="80" spans="1:1" x14ac:dyDescent="0.2">
      <c r="A80" s="35" t="s">
        <v>63</v>
      </c>
    </row>
    <row r="81" spans="1:1" ht="18.75" x14ac:dyDescent="0.3">
      <c r="A81" s="33" t="s">
        <v>85</v>
      </c>
    </row>
  </sheetData>
  <conditionalFormatting sqref="A74">
    <cfRule type="duplicateValues" dxfId="5" priority="7"/>
  </conditionalFormatting>
  <conditionalFormatting sqref="B1:B5 A1:A25">
    <cfRule type="duplicateValues" dxfId="4" priority="57"/>
  </conditionalFormatting>
  <conditionalFormatting sqref="B1:B7 A70:A81 A1:A25 A56:A68">
    <cfRule type="duplicateValues" dxfId="3" priority="56"/>
  </conditionalFormatting>
  <conditionalFormatting sqref="B1:B7 A83:A85 A1:A25 A56:A81">
    <cfRule type="duplicateValues" dxfId="2" priority="6"/>
  </conditionalFormatting>
  <conditionalFormatting sqref="B1:B11 A29:A31 A33:A35 A37:A40 A1:A25">
    <cfRule type="duplicateValues" dxfId="1" priority="63"/>
  </conditionalFormatting>
  <conditionalFormatting sqref="B8:B11 A29:A31 A33:A35 A37:A40">
    <cfRule type="duplicateValues" dxfId="0" priority="6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2</vt:i4>
      </vt:variant>
    </vt:vector>
  </HeadingPairs>
  <TitlesOfParts>
    <vt:vector size="7" baseType="lpstr">
      <vt:lpstr>Rapor</vt:lpstr>
      <vt:lpstr>Form Yanıtları 1</vt:lpstr>
      <vt:lpstr>Form Yanıtları 1 (3)</vt:lpstr>
      <vt:lpstr>aranacak okullarımız</vt:lpstr>
      <vt:lpstr>Sayfa2</vt:lpstr>
      <vt:lpstr>'aranacak okullarımız'!Yazdırma_Alanı</vt:lpstr>
      <vt:lpstr>'Form Yanıtları 1 (3)'!Yazdırma_Alanı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HASBI ERDOGMUS</cp:lastModifiedBy>
  <cp:lastPrinted>2025-10-08T06:44:48Z</cp:lastPrinted>
  <dcterms:modified xsi:type="dcterms:W3CDTF">2025-10-27T13:16:26Z</dcterms:modified>
</cp:coreProperties>
</file>